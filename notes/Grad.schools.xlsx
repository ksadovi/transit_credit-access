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\\arc\dfs\unix\scratch\m1kms01\transit_credit-access\notes\"/>
    </mc:Choice>
  </mc:AlternateContent>
  <xr:revisionPtr revIDLastSave="0" documentId="13_ncr:1_{3836AF43-8C00-4A22-86F1-F8D7730681D3}" xr6:coauthVersionLast="47" xr6:coauthVersionMax="47" xr10:uidLastSave="{00000000-0000-0000-0000-000000000000}"/>
  <bookViews>
    <workbookView xWindow="-103" yWindow="-103" windowWidth="16663" windowHeight="8863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B26" i="1"/>
  <c r="B25" i="1"/>
  <c r="B24" i="1"/>
  <c r="B22" i="1"/>
  <c r="E3" i="1"/>
</calcChain>
</file>

<file path=xl/sharedStrings.xml><?xml version="1.0" encoding="utf-8"?>
<sst xmlns="http://schemas.openxmlformats.org/spreadsheetml/2006/main" count="222" uniqueCount="116">
  <si>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</si>
  <si>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</si>
  <si>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</si>
  <si>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</si>
  <si>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</si>
  <si>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</si>
  <si>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</si>
  <si>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</si>
  <si>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</si>
  <si>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</si>
  <si>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</si>
  <si>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</si>
  <si>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</si>
  <si>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</si>
  <si>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</si>
  <si>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</si>
  <si>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</si>
  <si>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</si>
  <si>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</si>
  <si>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</si>
  <si>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</si>
  <si>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</si>
  <si>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</si>
  <si>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</si>
  <si>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</si>
  <si>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</si>
  <si>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</si>
  <si>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</si>
  <si>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</si>
  <si>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</si>
  <si>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</si>
  <si>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</si>
  <si>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</si>
  <si>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</si>
  <si>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</si>
  <si>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</si>
  <si>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</si>
  <si>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</si>
  <si>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</si>
  <si>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</si>
  <si>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</si>
  <si>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</si>
  <si>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</si>
  <si>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</si>
  <si>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</si>
  <si>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</si>
  <si>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</si>
  <si>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</si>
  <si>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</si>
  <si>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</si>
  <si>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</si>
  <si>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</si>
  <si>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</si>
  <si>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</si>
  <si>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</si>
  <si>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</si>
  <si>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</si>
  <si>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</si>
  <si>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</si>
  <si>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</si>
  <si>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</si>
  <si>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</si>
  <si>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</si>
  <si>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</si>
  <si>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</si>
  <si>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</si>
  <si>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</si>
  <si>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</si>
  <si>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</si>
  <si>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</si>
  <si>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</si>
  <si>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</si>
  <si>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</si>
  <si>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</si>
  <si>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</si>
  <si>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</si>
  <si>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</si>
  <si>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</si>
  <si>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</si>
  <si>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</si>
  <si>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</si>
  <si>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</si>
  <si>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</si>
  <si>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</si>
  <si>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</si>
  <si>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</si>
  <si>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</si>
  <si>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</si>
  <si>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</si>
  <si>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</si>
  <si>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</si>
  <si>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</si>
  <si>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</si>
  <si>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</si>
  <si>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</si>
  <si>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</si>
  <si>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</si>
  <si>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</si>
  <si>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</si>
  <si>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</si>
  <si>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</si>
  <si>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</si>
  <si>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</si>
  <si>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</si>
  <si>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</si>
  <si>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</si>
  <si>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</si>
  <si>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</si>
  <si>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</si>
  <si>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</si>
  <si>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</si>
  <si>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</si>
  <si>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</si>
  <si>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</si>
  <si>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UVA</t>
  </si>
  <si>
    <t xml:space="preserve">John Pepper -- cool policy evaluation work. Sarah Turner -- disparate returns to higher education, inequality. Amalia Miller -- gender labor papers.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</si>
</sst>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16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omics.mit.edu/academic-programs/phd-program/admissions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hyperlink" Target="https://economics.virginia.edu/phd-program-overview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yale.edu/phd-program/prospective-student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7"/>
  <sheetViews>
    <sheetView tabSelected="1" zoomScale="150" zoomScaleNormal="150" workbookViewId="0">
      <pane ySplit="1" topLeftCell="A13" activePane="bottomLeft" state="frozen"/>
      <selection pane="bottomLeft" activeCell="E18" sqref="E18"/>
    </sheetView>
  </sheetViews>
  <sheetFormatPr defaultColWidth="12.4609375" defaultRowHeight="15.75" customHeight="1" x14ac:dyDescent="0.3"/>
  <cols>
    <col min="2" max="2" width="14.4609375" customWidth="1"/>
    <col min="3" max="3" width="14.4609375" style="4" customWidth="1"/>
    <col min="4" max="4" width="11.15234375" customWidth="1"/>
    <col min="5" max="5" width="19.4609375" customWidth="1"/>
    <col min="6" max="6" width="6.4609375" customWidth="1"/>
    <col min="7" max="7" width="8.69140625" customWidth="1"/>
    <col min="8" max="8" width="14.15234375" customWidth="1"/>
    <col min="9" max="9" width="18.4609375" customWidth="1"/>
  </cols>
  <sheetData>
    <row r="1" spans="1:11" ht="15.75" customHeight="1" x14ac:dyDescent="0.3">
      <c r="A1" s="1" t="s">
        <v>0</v>
      </c>
      <c r="B1" s="1" t="s">
        <v>1</v>
      </c>
      <c r="C1" s="4" t="s">
        <v>111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3">
      <c r="A2" s="1" t="s">
        <v>7</v>
      </c>
      <c r="B2" s="12" t="s">
        <v>8</v>
      </c>
      <c r="C2" s="4" t="s">
        <v>112</v>
      </c>
      <c r="D2" s="5">
        <v>45266</v>
      </c>
      <c r="E2" s="4" t="s">
        <v>56</v>
      </c>
      <c r="F2" s="6">
        <v>200</v>
      </c>
      <c r="G2" s="4" t="s">
        <v>51</v>
      </c>
      <c r="H2" s="7" t="s">
        <v>54</v>
      </c>
      <c r="I2" s="7" t="s">
        <v>55</v>
      </c>
      <c r="J2">
        <v>3</v>
      </c>
    </row>
    <row r="3" spans="1:11" ht="15.75" customHeight="1" x14ac:dyDescent="0.3">
      <c r="A3" s="1" t="s">
        <v>7</v>
      </c>
      <c r="B3" s="12" t="s">
        <v>16</v>
      </c>
      <c r="C3" s="4" t="s">
        <v>112</v>
      </c>
      <c r="D3" s="5">
        <v>45204</v>
      </c>
      <c r="E3" t="str">
        <f>E2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F3" s="11" t="s">
        <v>80</v>
      </c>
      <c r="G3" s="7" t="s">
        <v>51</v>
      </c>
      <c r="H3" s="7" t="s">
        <v>60</v>
      </c>
      <c r="I3" s="7" t="s">
        <v>52</v>
      </c>
      <c r="J3">
        <v>3</v>
      </c>
      <c r="K3" s="7" t="s">
        <v>61</v>
      </c>
    </row>
    <row r="4" spans="1:11" ht="15.75" customHeight="1" x14ac:dyDescent="0.3">
      <c r="A4" s="1" t="s">
        <v>17</v>
      </c>
      <c r="B4" s="12" t="s">
        <v>29</v>
      </c>
      <c r="C4" s="4">
        <v>4</v>
      </c>
      <c r="D4" s="3">
        <v>45264</v>
      </c>
      <c r="E4" s="7" t="s">
        <v>64</v>
      </c>
      <c r="F4" s="8">
        <v>135</v>
      </c>
      <c r="G4" s="7" t="s">
        <v>58</v>
      </c>
      <c r="H4" s="7" t="s">
        <v>62</v>
      </c>
      <c r="I4" s="7" t="s">
        <v>57</v>
      </c>
      <c r="J4">
        <v>3</v>
      </c>
      <c r="K4" s="7" t="s">
        <v>67</v>
      </c>
    </row>
    <row r="5" spans="1:11" ht="15.75" customHeight="1" x14ac:dyDescent="0.3">
      <c r="A5" s="1" t="s">
        <v>18</v>
      </c>
      <c r="B5" s="12" t="s">
        <v>29</v>
      </c>
      <c r="C5" s="4">
        <v>11</v>
      </c>
      <c r="D5" s="3">
        <v>45278</v>
      </c>
      <c r="E5" s="7" t="s">
        <v>66</v>
      </c>
      <c r="F5" s="8">
        <v>110</v>
      </c>
      <c r="G5" s="7" t="s">
        <v>51</v>
      </c>
      <c r="H5" s="7" t="s">
        <v>65</v>
      </c>
      <c r="I5" s="7" t="s">
        <v>57</v>
      </c>
      <c r="J5">
        <v>3</v>
      </c>
    </row>
    <row r="6" spans="1:11" ht="15.75" customHeight="1" x14ac:dyDescent="0.3">
      <c r="A6" s="1" t="s">
        <v>20</v>
      </c>
      <c r="B6" s="12" t="s">
        <v>29</v>
      </c>
      <c r="C6" s="4">
        <v>61</v>
      </c>
      <c r="D6" s="3">
        <v>45306</v>
      </c>
      <c r="E6" s="7" t="s">
        <v>74</v>
      </c>
      <c r="F6" s="8">
        <v>80</v>
      </c>
      <c r="G6" s="7" t="s">
        <v>51</v>
      </c>
      <c r="H6" s="7" t="s">
        <v>72</v>
      </c>
      <c r="I6" s="7" t="s">
        <v>52</v>
      </c>
      <c r="J6">
        <v>3</v>
      </c>
      <c r="K6" s="7" t="s">
        <v>73</v>
      </c>
    </row>
    <row r="7" spans="1:11" ht="15.75" customHeight="1" x14ac:dyDescent="0.3">
      <c r="A7" s="1" t="s">
        <v>21</v>
      </c>
      <c r="B7" s="12" t="s">
        <v>22</v>
      </c>
      <c r="C7" s="4" t="s">
        <v>113</v>
      </c>
      <c r="D7" s="3">
        <v>45275</v>
      </c>
      <c r="E7" s="7" t="s">
        <v>68</v>
      </c>
      <c r="F7" s="8">
        <v>80</v>
      </c>
      <c r="G7" s="7" t="s">
        <v>55</v>
      </c>
      <c r="H7" s="7" t="s">
        <v>55</v>
      </c>
      <c r="I7" s="7" t="s">
        <v>55</v>
      </c>
      <c r="J7">
        <v>3</v>
      </c>
      <c r="K7" s="7" t="s">
        <v>61</v>
      </c>
    </row>
    <row r="8" spans="1:11" ht="15.75" customHeight="1" x14ac:dyDescent="0.3">
      <c r="A8" s="1" t="s">
        <v>23</v>
      </c>
      <c r="B8" s="12" t="s">
        <v>24</v>
      </c>
      <c r="D8" s="3">
        <v>45261</v>
      </c>
      <c r="E8" s="7" t="s">
        <v>52</v>
      </c>
      <c r="F8" s="8">
        <v>90</v>
      </c>
      <c r="G8" s="7" t="s">
        <v>51</v>
      </c>
      <c r="H8" s="7" t="s">
        <v>75</v>
      </c>
      <c r="I8" s="7" t="s">
        <v>52</v>
      </c>
      <c r="J8" s="7" t="s">
        <v>55</v>
      </c>
      <c r="K8" s="7" t="s">
        <v>76</v>
      </c>
    </row>
    <row r="9" spans="1:11" ht="15.75" customHeight="1" x14ac:dyDescent="0.3">
      <c r="A9" s="1" t="s">
        <v>30</v>
      </c>
      <c r="B9" s="12" t="s">
        <v>29</v>
      </c>
      <c r="C9" s="4">
        <v>22</v>
      </c>
      <c r="D9" s="3">
        <v>45292</v>
      </c>
      <c r="E9" s="7" t="s">
        <v>78</v>
      </c>
      <c r="F9" s="8">
        <v>75</v>
      </c>
      <c r="G9" s="7" t="s">
        <v>77</v>
      </c>
      <c r="H9" s="7" t="s">
        <v>55</v>
      </c>
      <c r="I9" s="7" t="s">
        <v>52</v>
      </c>
      <c r="J9">
        <v>2</v>
      </c>
      <c r="K9" s="7" t="s">
        <v>79</v>
      </c>
    </row>
    <row r="10" spans="1:11" ht="15.75" customHeight="1" x14ac:dyDescent="0.3">
      <c r="A10" s="1" t="s">
        <v>33</v>
      </c>
      <c r="B10" s="12" t="s">
        <v>29</v>
      </c>
      <c r="C10" s="4">
        <v>12</v>
      </c>
      <c r="D10" s="3">
        <v>45261</v>
      </c>
      <c r="E10" s="7" t="s">
        <v>82</v>
      </c>
      <c r="F10" s="8">
        <v>75</v>
      </c>
      <c r="G10" s="7" t="s">
        <v>51</v>
      </c>
      <c r="H10" s="7" t="s">
        <v>55</v>
      </c>
      <c r="I10" s="7" t="s">
        <v>52</v>
      </c>
      <c r="J10">
        <v>3</v>
      </c>
      <c r="K10" s="7" t="s">
        <v>81</v>
      </c>
    </row>
    <row r="11" spans="1:11" ht="15.75" customHeight="1" x14ac:dyDescent="0.3">
      <c r="A11" s="4" t="s">
        <v>83</v>
      </c>
      <c r="B11" s="12" t="s">
        <v>29</v>
      </c>
      <c r="C11" s="4">
        <v>9</v>
      </c>
      <c r="D11" s="3">
        <v>45274</v>
      </c>
      <c r="E11" s="7" t="s">
        <v>87</v>
      </c>
      <c r="F11" s="8">
        <v>120</v>
      </c>
      <c r="G11" s="7" t="s">
        <v>51</v>
      </c>
      <c r="H11" s="7" t="s">
        <v>55</v>
      </c>
      <c r="I11" s="7" t="s">
        <v>84</v>
      </c>
      <c r="J11" s="13" t="s">
        <v>85</v>
      </c>
      <c r="K11" s="7" t="s">
        <v>86</v>
      </c>
    </row>
    <row r="12" spans="1:11" ht="15.75" customHeight="1" x14ac:dyDescent="0.3">
      <c r="A12" s="4" t="s">
        <v>89</v>
      </c>
      <c r="B12" s="12" t="s">
        <v>29</v>
      </c>
      <c r="C12" s="4">
        <v>22</v>
      </c>
      <c r="D12" s="3">
        <v>45261</v>
      </c>
      <c r="E12" s="7" t="s">
        <v>91</v>
      </c>
      <c r="F12" s="8">
        <v>75</v>
      </c>
      <c r="G12" s="7" t="s">
        <v>51</v>
      </c>
      <c r="H12" s="7" t="s">
        <v>55</v>
      </c>
      <c r="I12" s="7" t="s">
        <v>57</v>
      </c>
      <c r="J12">
        <v>3</v>
      </c>
      <c r="K12" s="7" t="s">
        <v>90</v>
      </c>
    </row>
    <row r="13" spans="1:11" ht="15.75" customHeight="1" x14ac:dyDescent="0.3">
      <c r="A13" s="4" t="s">
        <v>69</v>
      </c>
      <c r="B13" s="12" t="s">
        <v>94</v>
      </c>
      <c r="D13" s="3" t="s">
        <v>55</v>
      </c>
      <c r="E13" s="7" t="s">
        <v>52</v>
      </c>
      <c r="F13" s="14">
        <v>100</v>
      </c>
      <c r="G13" s="7" t="s">
        <v>51</v>
      </c>
      <c r="H13" t="s">
        <v>92</v>
      </c>
      <c r="I13" s="7" t="s">
        <v>52</v>
      </c>
      <c r="J13">
        <v>2</v>
      </c>
      <c r="K13" s="7" t="s">
        <v>93</v>
      </c>
    </row>
    <row r="14" spans="1:11" ht="15.75" customHeight="1" x14ac:dyDescent="0.3">
      <c r="A14" s="4" t="s">
        <v>70</v>
      </c>
      <c r="B14" s="12" t="s">
        <v>97</v>
      </c>
      <c r="D14" s="3">
        <v>45265</v>
      </c>
      <c r="E14" s="7" t="s">
        <v>52</v>
      </c>
      <c r="F14" s="7" t="s">
        <v>55</v>
      </c>
      <c r="G14" s="7" t="s">
        <v>51</v>
      </c>
      <c r="H14" s="7" t="s">
        <v>95</v>
      </c>
      <c r="I14" s="7" t="s">
        <v>52</v>
      </c>
      <c r="J14">
        <v>2</v>
      </c>
      <c r="K14" s="7" t="s">
        <v>96</v>
      </c>
    </row>
    <row r="15" spans="1:11" ht="15.75" customHeight="1" x14ac:dyDescent="0.3">
      <c r="A15" s="4" t="s">
        <v>71</v>
      </c>
      <c r="B15" s="12" t="s">
        <v>99</v>
      </c>
      <c r="D15" s="15" t="s">
        <v>55</v>
      </c>
      <c r="E15" s="7" t="s">
        <v>52</v>
      </c>
      <c r="F15" s="7" t="s">
        <v>55</v>
      </c>
      <c r="G15" s="7" t="s">
        <v>51</v>
      </c>
      <c r="H15" s="7" t="s">
        <v>98</v>
      </c>
      <c r="I15" s="7" t="s">
        <v>52</v>
      </c>
      <c r="J15">
        <v>2</v>
      </c>
    </row>
    <row r="16" spans="1:11" ht="15.75" customHeight="1" x14ac:dyDescent="0.3">
      <c r="A16" s="1" t="s">
        <v>40</v>
      </c>
      <c r="B16" s="12" t="s">
        <v>29</v>
      </c>
      <c r="C16" s="4">
        <v>18</v>
      </c>
      <c r="D16" s="3">
        <v>44930</v>
      </c>
      <c r="E16" s="7" t="s">
        <v>101</v>
      </c>
      <c r="F16" s="8">
        <v>90</v>
      </c>
      <c r="G16" s="7" t="s">
        <v>51</v>
      </c>
      <c r="H16" s="7" t="s">
        <v>100</v>
      </c>
      <c r="I16" s="7" t="s">
        <v>52</v>
      </c>
      <c r="J16">
        <v>3</v>
      </c>
    </row>
    <row r="17" spans="1:11" ht="15.75" customHeight="1" x14ac:dyDescent="0.3">
      <c r="A17" s="1" t="s">
        <v>114</v>
      </c>
      <c r="B17" s="12" t="s">
        <v>29</v>
      </c>
      <c r="C17" s="4">
        <v>30</v>
      </c>
      <c r="D17" s="3">
        <v>45306</v>
      </c>
      <c r="E17" s="7" t="s">
        <v>115</v>
      </c>
      <c r="F17" s="8">
        <v>85</v>
      </c>
      <c r="G17" s="7" t="s">
        <v>51</v>
      </c>
      <c r="H17" s="16" t="s">
        <v>55</v>
      </c>
      <c r="I17" s="7" t="s">
        <v>52</v>
      </c>
      <c r="J17">
        <v>2</v>
      </c>
    </row>
    <row r="18" spans="1:11" ht="15.75" customHeight="1" x14ac:dyDescent="0.3">
      <c r="A18" s="4" t="s">
        <v>88</v>
      </c>
      <c r="B18" s="12" t="s">
        <v>29</v>
      </c>
      <c r="C18" s="4">
        <v>1</v>
      </c>
      <c r="D18" s="3">
        <v>45275</v>
      </c>
      <c r="E18" s="7" t="s">
        <v>103</v>
      </c>
      <c r="F18" s="8">
        <v>75</v>
      </c>
      <c r="G18" s="7" t="s">
        <v>77</v>
      </c>
      <c r="H18" s="7" t="s">
        <v>102</v>
      </c>
      <c r="I18" s="7" t="s">
        <v>52</v>
      </c>
      <c r="J18">
        <v>3</v>
      </c>
      <c r="K18" s="7"/>
    </row>
    <row r="19" spans="1:11" ht="15.75" customHeight="1" x14ac:dyDescent="0.3">
      <c r="A19" s="1" t="s">
        <v>36</v>
      </c>
      <c r="B19" s="12" t="s">
        <v>16</v>
      </c>
      <c r="C19" s="4" t="s">
        <v>112</v>
      </c>
      <c r="D19" s="15" t="s">
        <v>55</v>
      </c>
      <c r="E19" s="7" t="s">
        <v>52</v>
      </c>
      <c r="F19" s="8">
        <v>100</v>
      </c>
      <c r="G19" s="7" t="s">
        <v>51</v>
      </c>
      <c r="H19" s="7" t="s">
        <v>105</v>
      </c>
      <c r="I19" s="7" t="s">
        <v>52</v>
      </c>
      <c r="J19">
        <v>3</v>
      </c>
      <c r="K19" s="7" t="s">
        <v>104</v>
      </c>
    </row>
    <row r="20" spans="1:11" ht="15.75" customHeight="1" x14ac:dyDescent="0.3">
      <c r="A20" s="1" t="s">
        <v>36</v>
      </c>
      <c r="B20" s="12" t="s">
        <v>8</v>
      </c>
      <c r="C20" s="4" t="s">
        <v>112</v>
      </c>
      <c r="D20" s="3">
        <v>45261</v>
      </c>
      <c r="E20" s="7" t="s">
        <v>107</v>
      </c>
      <c r="F20" s="8">
        <v>100</v>
      </c>
      <c r="G20" s="7" t="s">
        <v>77</v>
      </c>
      <c r="H20" s="7" t="s">
        <v>55</v>
      </c>
      <c r="I20" s="7" t="s">
        <v>106</v>
      </c>
      <c r="J20">
        <v>3</v>
      </c>
    </row>
    <row r="21" spans="1:11" ht="15.75" customHeight="1" x14ac:dyDescent="0.3">
      <c r="A21" s="1" t="s">
        <v>38</v>
      </c>
      <c r="B21" s="12" t="s">
        <v>29</v>
      </c>
      <c r="C21" s="4">
        <v>4</v>
      </c>
      <c r="D21" s="3">
        <v>45261</v>
      </c>
      <c r="E21" s="7" t="s">
        <v>108</v>
      </c>
      <c r="F21" s="8">
        <v>105</v>
      </c>
      <c r="G21" s="7" t="s">
        <v>51</v>
      </c>
      <c r="H21" s="7" t="s">
        <v>109</v>
      </c>
      <c r="I21" s="7" t="s">
        <v>110</v>
      </c>
      <c r="J21">
        <v>3</v>
      </c>
    </row>
    <row r="22" spans="1:11" ht="43" customHeight="1" x14ac:dyDescent="0.3">
      <c r="A22" s="9" t="s">
        <v>63</v>
      </c>
      <c r="B22" s="10">
        <f>SUM(F:F)</f>
        <v>1695</v>
      </c>
      <c r="D22" s="3"/>
    </row>
    <row r="23" spans="1:11" ht="15.75" customHeight="1" x14ac:dyDescent="0.3">
      <c r="D23" s="3"/>
    </row>
    <row r="24" spans="1:11" ht="15.75" customHeight="1" x14ac:dyDescent="0.3">
      <c r="B24">
        <f>_xlfn.QUARTILE.INC(C:C,1)</f>
        <v>6.5</v>
      </c>
    </row>
    <row r="25" spans="1:11" ht="15.75" customHeight="1" x14ac:dyDescent="0.3">
      <c r="B25">
        <f>_xlfn.QUARTILE.INC(C:C,2)</f>
        <v>12</v>
      </c>
    </row>
    <row r="26" spans="1:11" ht="15.75" customHeight="1" x14ac:dyDescent="0.3">
      <c r="B26">
        <f>_xlfn.QUARTILE.INC(C:C,3)</f>
        <v>22</v>
      </c>
    </row>
    <row r="27" spans="1:11" ht="15.75" customHeight="1" x14ac:dyDescent="0.3">
      <c r="B27">
        <f>_xlfn.QUARTILE.INC(C:C,4)</f>
        <v>61</v>
      </c>
    </row>
  </sheetData>
  <hyperlinks>
    <hyperlink ref="B2" r:id="rId1" xr:uid="{00000000-0004-0000-0000-000000000000}"/>
    <hyperlink ref="B3" r:id="rId2" xr:uid="{00000000-0004-0000-0000-000002000000}"/>
    <hyperlink ref="B5" r:id="rId3" xr:uid="{00000000-0004-0000-0000-000004000000}"/>
    <hyperlink ref="B6" r:id="rId4" xr:uid="{00000000-0004-0000-0000-000006000000}"/>
    <hyperlink ref="B7" r:id="rId5" xr:uid="{00000000-0004-0000-0000-000007000000}"/>
    <hyperlink ref="B8" r:id="rId6" xr:uid="{00000000-0004-0000-0000-000008000000}"/>
    <hyperlink ref="B9" r:id="rId7" xr:uid="{00000000-0004-0000-0000-00000B000000}"/>
    <hyperlink ref="B19" r:id="rId8" xr:uid="{00000000-0004-0000-0000-000010000000}"/>
    <hyperlink ref="B20" r:id="rId9" xr:uid="{00000000-0004-0000-0000-000011000000}"/>
    <hyperlink ref="B4" r:id="rId10" xr:uid="{5F417FAE-548E-43C2-A72F-EFF6AAC0C847}"/>
    <hyperlink ref="B10" r:id="rId11" xr:uid="{CEBD452E-F47C-5C4A-B5D1-2D489AFAD36E}"/>
    <hyperlink ref="B11" r:id="rId12" xr:uid="{CE1B6F0B-99DB-644D-A9E8-6D3D507E9BD1}"/>
    <hyperlink ref="B12" r:id="rId13" xr:uid="{A4DEDE0E-6619-DB4E-9E11-376ABE075990}"/>
    <hyperlink ref="B13" r:id="rId14" xr:uid="{FF01F1E2-5FB2-F04F-9617-5DDCDCBF3B40}"/>
    <hyperlink ref="B14" r:id="rId15" xr:uid="{7C6CE824-AE30-494D-B258-0054A0D899EA}"/>
    <hyperlink ref="B15" r:id="rId16" xr:uid="{62B1ED50-7C87-9F42-94A8-5B286787503B}"/>
    <hyperlink ref="B16" r:id="rId17" xr:uid="{1B93CA37-878D-49EE-B5EB-04AB17E9D9F3}"/>
    <hyperlink ref="B18" r:id="rId18" xr:uid="{DE4CF150-431E-F943-B00A-9916FAE52C5A}"/>
    <hyperlink ref="B21" r:id="rId19" xr:uid="{758FF3B7-7422-4CA8-8353-6CEC896418A2}"/>
    <hyperlink ref="B17" r:id="rId20" xr:uid="{27EAEAD3-5A22-45D5-8B9B-93351924D911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609375" defaultRowHeight="12.45" x14ac:dyDescent="0.3"/>
  <cols>
    <col min="2" max="2" width="14.4609375" customWidth="1"/>
    <col min="3" max="3" width="11.15234375" customWidth="1"/>
    <col min="4" max="5" width="19.4609375" customWidth="1"/>
    <col min="6" max="6" width="16.4609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3">
      <c r="A3" s="1" t="s">
        <v>7</v>
      </c>
      <c r="B3" s="2" t="s">
        <v>14</v>
      </c>
      <c r="D3" s="1" t="s">
        <v>15</v>
      </c>
    </row>
    <row r="4" spans="1:7" x14ac:dyDescent="0.3">
      <c r="A4" s="1" t="s">
        <v>7</v>
      </c>
      <c r="B4" s="2" t="s">
        <v>16</v>
      </c>
      <c r="D4" s="1" t="s">
        <v>15</v>
      </c>
    </row>
    <row r="5" spans="1:7" x14ac:dyDescent="0.3">
      <c r="A5" s="1" t="s">
        <v>17</v>
      </c>
      <c r="B5" s="2" t="s">
        <v>16</v>
      </c>
    </row>
    <row r="6" spans="1:7" x14ac:dyDescent="0.3">
      <c r="A6" s="1" t="s">
        <v>18</v>
      </c>
      <c r="B6" s="2" t="s">
        <v>8</v>
      </c>
    </row>
    <row r="7" spans="1:7" x14ac:dyDescent="0.3">
      <c r="A7" s="1" t="s">
        <v>18</v>
      </c>
      <c r="B7" s="2" t="s">
        <v>19</v>
      </c>
    </row>
    <row r="8" spans="1:7" x14ac:dyDescent="0.3">
      <c r="A8" s="1" t="s">
        <v>20</v>
      </c>
      <c r="B8" s="2" t="s">
        <v>8</v>
      </c>
    </row>
    <row r="9" spans="1:7" x14ac:dyDescent="0.3">
      <c r="A9" s="1" t="s">
        <v>21</v>
      </c>
      <c r="B9" s="2" t="s">
        <v>22</v>
      </c>
    </row>
    <row r="10" spans="1:7" x14ac:dyDescent="0.3">
      <c r="A10" s="1" t="s">
        <v>23</v>
      </c>
      <c r="B10" s="2" t="s">
        <v>24</v>
      </c>
    </row>
    <row r="11" spans="1:7" x14ac:dyDescent="0.3">
      <c r="A11" s="1" t="s">
        <v>25</v>
      </c>
      <c r="B11" s="2" t="s">
        <v>26</v>
      </c>
      <c r="G11" s="1" t="s">
        <v>27</v>
      </c>
    </row>
    <row r="12" spans="1:7" x14ac:dyDescent="0.3">
      <c r="A12" s="1" t="s">
        <v>28</v>
      </c>
      <c r="B12" s="2" t="s">
        <v>29</v>
      </c>
    </row>
    <row r="13" spans="1:7" x14ac:dyDescent="0.3">
      <c r="A13" s="1" t="s">
        <v>30</v>
      </c>
      <c r="B13" s="2" t="s">
        <v>29</v>
      </c>
    </row>
    <row r="14" spans="1:7" x14ac:dyDescent="0.3">
      <c r="A14" s="1" t="s">
        <v>31</v>
      </c>
      <c r="B14" s="2" t="s">
        <v>29</v>
      </c>
      <c r="G14" s="1" t="s">
        <v>32</v>
      </c>
    </row>
    <row r="15" spans="1:7" x14ac:dyDescent="0.3">
      <c r="A15" s="1" t="s">
        <v>33</v>
      </c>
      <c r="B15" s="2" t="s">
        <v>16</v>
      </c>
    </row>
    <row r="16" spans="1:7" x14ac:dyDescent="0.3">
      <c r="A16" s="1" t="s">
        <v>33</v>
      </c>
      <c r="B16" s="2" t="s">
        <v>34</v>
      </c>
    </row>
    <row r="17" spans="1:2" x14ac:dyDescent="0.3">
      <c r="A17" s="1" t="s">
        <v>35</v>
      </c>
      <c r="B17" s="2" t="s">
        <v>29</v>
      </c>
    </row>
    <row r="18" spans="1:2" x14ac:dyDescent="0.3">
      <c r="A18" s="1" t="s">
        <v>36</v>
      </c>
      <c r="B18" s="2" t="s">
        <v>16</v>
      </c>
    </row>
    <row r="19" spans="1:2" x14ac:dyDescent="0.3">
      <c r="A19" s="1" t="s">
        <v>36</v>
      </c>
      <c r="B19" s="2" t="s">
        <v>8</v>
      </c>
    </row>
    <row r="20" spans="1:2" x14ac:dyDescent="0.3">
      <c r="A20" s="1" t="s">
        <v>36</v>
      </c>
      <c r="B20" s="2" t="s">
        <v>29</v>
      </c>
    </row>
    <row r="21" spans="1:2" x14ac:dyDescent="0.3">
      <c r="A21" s="1" t="s">
        <v>37</v>
      </c>
    </row>
    <row r="22" spans="1:2" x14ac:dyDescent="0.3">
      <c r="A22" s="1" t="s">
        <v>38</v>
      </c>
    </row>
    <row r="23" spans="1:2" x14ac:dyDescent="0.3">
      <c r="A23" s="1" t="s">
        <v>39</v>
      </c>
    </row>
    <row r="24" spans="1:2" x14ac:dyDescent="0.3">
      <c r="A24" s="1" t="s">
        <v>40</v>
      </c>
      <c r="B24" s="1" t="s">
        <v>29</v>
      </c>
    </row>
    <row r="25" spans="1:2" x14ac:dyDescent="0.3">
      <c r="A25" s="1" t="s">
        <v>40</v>
      </c>
      <c r="B25" s="1" t="s">
        <v>41</v>
      </c>
    </row>
    <row r="26" spans="1:2" x14ac:dyDescent="0.3">
      <c r="A26" s="1" t="s">
        <v>42</v>
      </c>
      <c r="B26" s="1" t="s">
        <v>29</v>
      </c>
    </row>
    <row r="27" spans="1:2" x14ac:dyDescent="0.3">
      <c r="A27" s="1" t="s">
        <v>43</v>
      </c>
    </row>
    <row r="28" spans="1:2" x14ac:dyDescent="0.3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2023-08-15T15:42:23Z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2023-08-15T15:42:23Z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65cbf02a-3421-44a1-a7a2-548c30e1f211</vt:lpwstr>
  </property>
  <property fmtid="{D5CDD505-2E9C-101B-9397-08002B2CF9AE}" pid="9" name="MSIP_Label_020c9e8b-b879-4ade-97ac-60b9c2bff5e3_ContentBits">
    <vt:lpwstr>1</vt:lpwstr>
  </property>
</Properties>
</file>