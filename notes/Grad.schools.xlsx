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82B7E533-418E-8848-8A5E-807F590EB36F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28" i="1"/>
  <c r="B27" i="1"/>
  <c r="B25" i="1"/>
</calcChain>
</file>

<file path=xl/sharedStrings.xml><?xml version="1.0" encoding="utf-8"?>
<sst xmlns="http://schemas.openxmlformats.org/spreadsheetml/2006/main" count="242" uniqueCount="134">
  <si>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</si>
  <si>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</si>
  <si>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</si>
  <si>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</si>
  <si>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</si>
  <si>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</si>
  <si>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</si>
  <si>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</si>
  <si>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</si>
  <si>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</si>
  <si>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</si>
  <si>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</si>
  <si>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</si>
  <si>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</si>
  <si>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</si>
  <si>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</si>
  <si>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</si>
  <si>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</si>
  <si>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</si>
  <si>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</si>
  <si>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</si>
  <si>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</si>
  <si>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</si>
  <si>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</si>
  <si>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</si>
  <si>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</si>
  <si>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</si>
  <si>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</si>
  <si>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</si>
  <si>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</si>
  <si>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</si>
  <si>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</si>
  <si>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</si>
  <si>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</si>
  <si>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</si>
  <si>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</si>
  <si>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</si>
  <si>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</si>
  <si>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</si>
  <si>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</si>
  <si>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</si>
  <si>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</si>
  <si>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</si>
  <si>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</si>
  <si>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</si>
  <si>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</si>
  <si>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</si>
  <si>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</si>
  <si>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</si>
  <si>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</si>
  <si>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</si>
  <si>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</si>
  <si>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</si>
  <si>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</si>
  <si>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</si>
  <si>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</si>
  <si>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</si>
  <si>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</si>
  <si>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</si>
  <si>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</si>
  <si>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</si>
  <si>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</si>
  <si>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</si>
  <si>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</si>
  <si>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</si>
  <si>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</si>
  <si>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</si>
  <si>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</si>
  <si>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</si>
  <si>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</si>
  <si>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</si>
  <si>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</si>
  <si>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</si>
  <si>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</si>
  <si>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</si>
  <si>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</si>
  <si>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</si>
  <si>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</si>
  <si>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</si>
  <si>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</si>
  <si>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</si>
  <si>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</si>
  <si>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</si>
  <si>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</si>
  <si>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</si>
  <si>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</si>
  <si>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</si>
  <si>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</si>
  <si>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</si>
  <si>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</si>
  <si>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</si>
  <si>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</si>
  <si>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</si>
  <si>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</si>
  <si>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</si>
  <si>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</si>
  <si>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</si>
  <si>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</si>
  <si>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</si>
  <si>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</si>
  <si>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</si>
  <si>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</si>
  <si>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</si>
  <si>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</si>
  <si>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</si>
  <si>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</si>
  <si>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</si>
  <si>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</si>
  <si>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</si>
  <si>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</si>
  <si>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</si>
  <si>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</si>
  <si>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</si>
  <si>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</si>
  <si>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</si>
  <si>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</si>
  <si>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</si>
  <si>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</si>
  <si>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</si>
  <si>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</si>
  <si>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</si>
  <si>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</si>
  <si>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</si>
  <si>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</si>
  <si>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</si>
  <si>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</si>
  <si>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</si>
  <si>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</si>
  <si>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</si>
  <si>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</si>
  <si>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</si>
  <si>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</si>
  <si>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</si>
  <si>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 ytlacil -- evaluating disparate returns to schooling, speaks to disparate impact of treatment effects (like my NSF proposal).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</si>
</sst>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hyperlink" Target="https://graduateprograms.brown.edu/graduate-program/economics-p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0"/>
  <sheetViews>
    <sheetView tabSelected="1" zoomScale="150" zoomScaleNormal="150" workbookViewId="0">
      <pane ySplit="1" topLeftCell="A2" activePane="bottomLeft" state="frozen"/>
      <selection pane="bottomLeft" activeCell="E9" sqref="E9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105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106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106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17" t="s">
        <v>133</v>
      </c>
      <c r="F6" s="8">
        <v>105</v>
      </c>
      <c r="G6" s="7" t="s">
        <v>51</v>
      </c>
      <c r="H6" s="7" t="s">
        <v>103</v>
      </c>
      <c r="I6" s="7" t="s">
        <v>104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106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107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118</v>
      </c>
      <c r="B13" s="12" t="s">
        <v>29</v>
      </c>
      <c r="C13" s="4">
        <v>4</v>
      </c>
      <c r="D13" s="15">
        <v>45275</v>
      </c>
      <c r="E13" s="7" t="s">
        <v>119</v>
      </c>
      <c r="F13" s="8">
        <v>75</v>
      </c>
      <c r="G13" s="7" t="s">
        <v>51</v>
      </c>
      <c r="H13" s="7" t="s">
        <v>120</v>
      </c>
      <c r="I13" s="7" t="s">
        <v>121</v>
      </c>
      <c r="J13">
        <v>3</v>
      </c>
      <c r="K13" s="7" t="s">
        <v>122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  <c r="K16" s="17" t="s">
        <v>132</v>
      </c>
    </row>
    <row r="17" spans="1:11" ht="15.75" customHeight="1" x14ac:dyDescent="0.15">
      <c r="A17" s="1" t="s">
        <v>113</v>
      </c>
      <c r="B17" s="12" t="s">
        <v>29</v>
      </c>
      <c r="C17" s="4">
        <v>8</v>
      </c>
      <c r="D17" s="15">
        <v>45295</v>
      </c>
      <c r="E17" s="7" t="s">
        <v>117</v>
      </c>
      <c r="F17" s="8">
        <v>95</v>
      </c>
      <c r="G17" s="7" t="s">
        <v>51</v>
      </c>
      <c r="H17" s="7" t="s">
        <v>103</v>
      </c>
      <c r="I17" s="7" t="s">
        <v>114</v>
      </c>
      <c r="J17" s="16" t="s">
        <v>115</v>
      </c>
      <c r="K17" s="7" t="s">
        <v>116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123</v>
      </c>
      <c r="B19" s="12" t="s">
        <v>29</v>
      </c>
      <c r="C19" s="1">
        <v>30</v>
      </c>
      <c r="D19" s="3">
        <v>45306</v>
      </c>
      <c r="E19" s="17" t="s">
        <v>124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>
        <v>45306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125</v>
      </c>
      <c r="B21" s="12" t="s">
        <v>29</v>
      </c>
      <c r="C21" s="4">
        <v>14</v>
      </c>
      <c r="D21" s="15">
        <v>45306</v>
      </c>
      <c r="E21" s="17" t="s">
        <v>126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127</v>
      </c>
      <c r="B22" s="12" t="s">
        <v>29</v>
      </c>
      <c r="C22" s="4">
        <v>22</v>
      </c>
      <c r="D22" s="15">
        <v>45275</v>
      </c>
      <c r="E22" s="17" t="s">
        <v>129</v>
      </c>
      <c r="F22" s="8">
        <v>95</v>
      </c>
      <c r="G22" s="17" t="s">
        <v>58</v>
      </c>
      <c r="H22" s="17" t="s">
        <v>128</v>
      </c>
      <c r="I22" s="17" t="s">
        <v>57</v>
      </c>
      <c r="J22">
        <v>3</v>
      </c>
      <c r="K22" s="7"/>
    </row>
    <row r="23" spans="1:11" ht="15.75" customHeight="1" x14ac:dyDescent="0.15">
      <c r="A23" s="1" t="s">
        <v>130</v>
      </c>
      <c r="B23" s="12" t="s">
        <v>29</v>
      </c>
      <c r="C23" s="4">
        <v>20</v>
      </c>
      <c r="D23" s="15">
        <v>45292</v>
      </c>
      <c r="E23" s="17" t="s">
        <v>131</v>
      </c>
      <c r="F23" s="8">
        <v>75</v>
      </c>
      <c r="G23" s="17" t="s">
        <v>55</v>
      </c>
      <c r="H23" s="17" t="s">
        <v>55</v>
      </c>
      <c r="I23" s="17" t="s">
        <v>55</v>
      </c>
      <c r="J23">
        <v>3</v>
      </c>
      <c r="K23" s="7"/>
    </row>
    <row r="24" spans="1:11" ht="13" x14ac:dyDescent="0.15">
      <c r="A24" s="4" t="s">
        <v>71</v>
      </c>
      <c r="B24" s="12" t="s">
        <v>96</v>
      </c>
      <c r="D24" s="15">
        <v>45306</v>
      </c>
      <c r="E24" s="7" t="s">
        <v>52</v>
      </c>
      <c r="F24" s="7" t="s">
        <v>55</v>
      </c>
      <c r="G24" s="7" t="s">
        <v>51</v>
      </c>
      <c r="H24" s="7" t="s">
        <v>95</v>
      </c>
      <c r="I24" s="7" t="s">
        <v>52</v>
      </c>
      <c r="J24">
        <v>2</v>
      </c>
    </row>
    <row r="25" spans="1:11" ht="43" customHeight="1" x14ac:dyDescent="0.15">
      <c r="A25" s="9" t="s">
        <v>63</v>
      </c>
      <c r="B25" s="10">
        <f>SUM(F:F)</f>
        <v>1845</v>
      </c>
      <c r="D25" s="3"/>
    </row>
    <row r="26" spans="1:11" ht="15.75" customHeight="1" x14ac:dyDescent="0.15">
      <c r="A26" t="s">
        <v>108</v>
      </c>
      <c r="D26" s="3"/>
    </row>
    <row r="27" spans="1:11" ht="15.75" customHeight="1" x14ac:dyDescent="0.15">
      <c r="A27" s="4" t="s">
        <v>109</v>
      </c>
      <c r="B27">
        <f>_xlfn.QUARTILE.INC(C:C,1)</f>
        <v>7</v>
      </c>
    </row>
    <row r="28" spans="1:11" ht="15.75" customHeight="1" x14ac:dyDescent="0.15">
      <c r="A28" s="4" t="s">
        <v>110</v>
      </c>
      <c r="B28">
        <f>_xlfn.QUARTILE.INC(C:C,2)</f>
        <v>13</v>
      </c>
    </row>
    <row r="29" spans="1:11" ht="15.75" customHeight="1" x14ac:dyDescent="0.15">
      <c r="A29" s="4" t="s">
        <v>111</v>
      </c>
      <c r="B29">
        <f>_xlfn.QUARTILE.INC(C:C,3)</f>
        <v>22</v>
      </c>
    </row>
    <row r="30" spans="1:11" ht="15.75" customHeight="1" x14ac:dyDescent="0.15">
      <c r="A30" s="4" t="s">
        <v>112</v>
      </c>
      <c r="B30">
        <f>_xlfn.QUARTILE.INC(C:C,4)</f>
        <v>61</v>
      </c>
    </row>
  </sheetData>
  <sortState xmlns:xlrd2="http://schemas.microsoft.com/office/spreadsheetml/2017/richdata2" ref="A3:K24">
    <sortCondition ref="D3:D24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4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  <hyperlink ref="B23" r:id="rId22" xr:uid="{245EB07D-66D3-004B-9D45-1C5074223169}"/>
  </hyperlinks>
  <pageMargins left="0.7" right="0.7" top="0.75" bottom="0.75" header="0.3" footer="0.3"/>
  <pageSetup orientation="portrait" r:id="rId23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2023-09-17T23:57:20Z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