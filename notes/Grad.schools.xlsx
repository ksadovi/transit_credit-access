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kyrasadovi/Documents/transit_credit-access/notes/"/>
    </mc:Choice>
  </mc:AlternateContent>
  <xr:revisionPtr revIDLastSave="0" documentId="13_ncr:1_{0F185E11-0E11-9341-9142-56F48B7EF75A}" xr6:coauthVersionLast="47" xr6:coauthVersionMax="47" xr10:uidLastSave="{00000000-0000-0000-0000-000000000000}"/>
  <bookViews>
    <workbookView xWindow="-20" yWindow="500" windowWidth="25600" windowHeight="13880" xr2:uid="{00000000-000D-0000-FFFF-FFFF00000000}"/>
  </bookViews>
  <sheets>
    <sheet name="Application Details" sheetId="1" r:id="rId1"/>
    <sheet name="Program 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5" i="1"/>
</calcChain>
</file>

<file path=xl/sharedStrings.xml><?xml version="1.0" encoding="utf-8"?>
<sst xmlns="http://schemas.openxmlformats.org/spreadsheetml/2006/main" count="241" uniqueCount="133">
  <si>
    <t>School</t>
  </si>
  <si>
    <t xml:space="preserve">Program </t>
  </si>
  <si>
    <t>Applicant pool</t>
  </si>
  <si>
    <t xml:space="preserve">Applies to Masters too? </t>
  </si>
  <si>
    <t xml:space="preserve">Emphases in Application </t>
  </si>
  <si>
    <t xml:space="preserve">Graduate placement </t>
  </si>
  <si>
    <t>Notes</t>
  </si>
  <si>
    <t>UChicago</t>
  </si>
  <si>
    <t xml:space="preserve">Public Policy PhD </t>
  </si>
  <si>
    <t>Less-traditional applicants. Looks very different from other econ programs</t>
  </si>
  <si>
    <t>Yes -- you get to rank</t>
  </si>
  <si>
    <t xml:space="preserve">They're interested in what you've done and the ideas you have and the professors you want to work with </t>
  </si>
  <si>
    <t xml:space="preserve">Very good outside of academia </t>
  </si>
  <si>
    <t xml:space="preserve">Faculty doesn't sound particularly warm </t>
  </si>
  <si>
    <t>MSCAPP</t>
  </si>
  <si>
    <t>This is a masters</t>
  </si>
  <si>
    <t>MPP</t>
  </si>
  <si>
    <t xml:space="preserve">Berkeley </t>
  </si>
  <si>
    <t>NYU</t>
  </si>
  <si>
    <t>Urban Policy PhD</t>
  </si>
  <si>
    <t>GW</t>
  </si>
  <si>
    <t>Wharton</t>
  </si>
  <si>
    <t>Applied Econ PhD</t>
  </si>
  <si>
    <t>Georgetown</t>
  </si>
  <si>
    <t>MS in Data Science for Public Policy</t>
  </si>
  <si>
    <t>Carnegie Mellon</t>
  </si>
  <si>
    <t xml:space="preserve">Public Policy and Data Analytics </t>
  </si>
  <si>
    <t xml:space="preserve">Not ideal, but gives funding and could be good for negotiating </t>
  </si>
  <si>
    <t xml:space="preserve">UIC </t>
  </si>
  <si>
    <t>Econ PhD</t>
  </si>
  <si>
    <t>Johns Hopkins</t>
  </si>
  <si>
    <t>UPenn</t>
  </si>
  <si>
    <t xml:space="preserve">Not ideal </t>
  </si>
  <si>
    <t xml:space="preserve">Michigan </t>
  </si>
  <si>
    <t>Public Policy and Economics PhD</t>
  </si>
  <si>
    <t xml:space="preserve">Northwestern </t>
  </si>
  <si>
    <t xml:space="preserve">Harvard </t>
  </si>
  <si>
    <t>MIT</t>
  </si>
  <si>
    <t>Yale</t>
  </si>
  <si>
    <t>Stanford</t>
  </si>
  <si>
    <t>Duke</t>
  </si>
  <si>
    <t>Public Policy PhD</t>
  </si>
  <si>
    <t>Maryland</t>
  </si>
  <si>
    <t>UNC-Chapel Hill</t>
  </si>
  <si>
    <t>Emory</t>
  </si>
  <si>
    <t xml:space="preserve">Deadline </t>
  </si>
  <si>
    <t xml:space="preserve">Faculty to mention </t>
  </si>
  <si>
    <t>Fee</t>
  </si>
  <si>
    <t xml:space="preserve">Resume? </t>
  </si>
  <si>
    <t>Writing sample length</t>
  </si>
  <si>
    <t># letters of rec</t>
  </si>
  <si>
    <t>Y</t>
  </si>
  <si>
    <t>N/A</t>
  </si>
  <si>
    <t>Other requirements?</t>
  </si>
  <si>
    <t xml:space="preserve">800 word research statement </t>
  </si>
  <si>
    <t>TBD</t>
  </si>
  <si>
    <t xml:space="preserve">Joshua Gottlieb -- place-based policies. Jeffrey Grogger -- inequality and applied micro. Kelly Hallburg -- segregation, disinvestment. Damon Jones -- racial differences in financial outcomes. Paula Worthington -- metropolitan investment and super applied. </t>
  </si>
  <si>
    <t>Optional</t>
  </si>
  <si>
    <t xml:space="preserve">Optional </t>
  </si>
  <si>
    <t>SoP Notes</t>
  </si>
  <si>
    <t>300 word motivation statement</t>
  </si>
  <si>
    <t>Additional optional essays</t>
  </si>
  <si>
    <t>3 pages double spaced</t>
  </si>
  <si>
    <t xml:space="preserve">Total applications cost: </t>
  </si>
  <si>
    <t>Cecile Gaubert -- high-speed rail and spatial sorting &amp; inequality. Hilary Hoynes -- inequality. Pat Kline -- trends in spatial inequality.</t>
  </si>
  <si>
    <t>2 pages double spaced</t>
  </si>
  <si>
    <t xml:space="preserve">Andrew Caplin -- residential real estate. Michael Gilraine -- public housing. Daniel Waldinger -- public housing. </t>
  </si>
  <si>
    <t xml:space="preserve">Personal history statement (same length as SoP). Must explicitly mention 2 faculty members to work with in SoP. </t>
  </si>
  <si>
    <t xml:space="preserve">Gillies Duranton -- place-based policies and transportation. Fernando Ferreira -- racial discrimination in housing market. Joseph Gyourko -- housing. Todd Sinai -- housing, life-cycle wealth. Susan Wachter -- basically her entire CV </t>
  </si>
  <si>
    <t>BSE</t>
  </si>
  <si>
    <t xml:space="preserve">Cambridge </t>
  </si>
  <si>
    <t xml:space="preserve">Trinity -- Dublin </t>
  </si>
  <si>
    <t>250-500 words (?!!)</t>
  </si>
  <si>
    <t>None. Pretty sparse application</t>
  </si>
  <si>
    <t xml:space="preserve">Paul Ernesto Carrillo -- a few housing papers. Remi Jedwab -- cool urban development papers. Anthony Yezer -- real estate finance and urban development. </t>
  </si>
  <si>
    <t>N</t>
  </si>
  <si>
    <t xml:space="preserve">Yujung Hwang -- neighborhood effects. Robert A. Moffitt -- public econ. Barbara Morgan -- public econ. Nicholas W. Papageorge -- cool education papers. </t>
  </si>
  <si>
    <t xml:space="preserve">A note: I'm not sure this faculty fits me well, skews macro </t>
  </si>
  <si>
    <t>500-word personal statement</t>
  </si>
  <si>
    <t>Honestly, not a lot of people on faculty with similar interests. BUT, some public policy people in the Ford school. In econ, look at: Dean Yang, Basit Zafar, Christine Exley, Sara Heller, James R. Hines Jr., Brian Jacob, Mike Mueller-Smith, Edward C. Norton, Ana Reynoso, Benjamin Scuderi, Joel Slemrod, Melvin Stephens</t>
  </si>
  <si>
    <t>Columbia</t>
  </si>
  <si>
    <t xml:space="preserve">Up to 30 pages </t>
  </si>
  <si>
    <t>3-4</t>
  </si>
  <si>
    <t xml:space="preserve">A note: writing sample says it should be a research paper on which the applicant is *an* author. Could use the healthcare paper </t>
  </si>
  <si>
    <t xml:space="preserve">Sandra Black -- wealth and inequality. Donald Davis -- segregation, spatial mobility, polarization. Brendan O'Flaherty -- homelessness, crime, race. Ebonya Washington -- voting rights, race, mobility. </t>
  </si>
  <si>
    <t xml:space="preserve">MIT </t>
  </si>
  <si>
    <t>UMD-College Park</t>
  </si>
  <si>
    <t xml:space="preserve">Also requires supplemental application, description of research experiences, and up to 3 writing samples </t>
  </si>
  <si>
    <t xml:space="preserve">Judith Hellerstein -- spatial dimensions of unemployment, cool papers generally. Nolan Pope -- education public policy. Melissa Kearney -- UBIs, education outcomes </t>
  </si>
  <si>
    <t>1000 words max</t>
  </si>
  <si>
    <t xml:space="preserve">It's 100 euro to be able to designate 3 programs you'd like to be considered for. Only 60 for one program. Need copy of passport. </t>
  </si>
  <si>
    <t>MS in Econ/Econ Public Policy</t>
  </si>
  <si>
    <t xml:space="preserve">See note </t>
  </si>
  <si>
    <t xml:space="preserve">1000 words on reasons for application and 1000 words on career goals </t>
  </si>
  <si>
    <t>MPhil in Econ</t>
  </si>
  <si>
    <t xml:space="preserve">1 page </t>
  </si>
  <si>
    <t>MSc in Econ</t>
  </si>
  <si>
    <t>1-2 pages single spaced</t>
  </si>
  <si>
    <t xml:space="preserve">Rachel Kranton -- network effects.Patrick Bayer -- racial discrimination.  Jason Baron -- really cool foster care work. Overall awesome faculty, a lot of potential advisors and cool people </t>
  </si>
  <si>
    <t>2 pages single spaced</t>
  </si>
  <si>
    <t xml:space="preserve">Parag Pathak -- cool paper on CPS, race and school quality, etc. Nathaniel Hendren -- social mobility. Simon Jager -- labor. </t>
  </si>
  <si>
    <t>Max 20 pages. IDK what that means.</t>
  </si>
  <si>
    <t>Will Dobbie -- housing discrimination. Luis Armona -- home price expectations. Desmond Ang -- violence on inner-city students.</t>
  </si>
  <si>
    <t>Joseph Altonji -- cool research on the role of families and schools in inequality. Gerald Jaynes -- research on Black participation in the labor market and effects of migration on the Black working class (possibly emeritus?). Ed Vytlacil -- evaluating disparate returns to schooling, speaks to disparate impact of treatment effects (like my NSF proposal).</t>
  </si>
  <si>
    <t>500-1000 words</t>
  </si>
  <si>
    <t xml:space="preserve">Unsure? </t>
  </si>
  <si>
    <t>Econ Ranking</t>
  </si>
  <si>
    <t>NA</t>
  </si>
  <si>
    <t>?</t>
  </si>
  <si>
    <t>Distribution of Rankings</t>
  </si>
  <si>
    <t>1st quart</t>
  </si>
  <si>
    <t>median</t>
  </si>
  <si>
    <t>3rd quart</t>
  </si>
  <si>
    <t xml:space="preserve">max </t>
  </si>
  <si>
    <t>Northwestern</t>
  </si>
  <si>
    <t>Optional (and specifically use NSF proposals as an example)</t>
  </si>
  <si>
    <t>3-5</t>
  </si>
  <si>
    <t xml:space="preserve">Also have a courses form </t>
  </si>
  <si>
    <t xml:space="preserve">Kirabo Jackson -- education policy papers. Elisa Jacome -- immigration, healthcare, criminal justice system. Scott Ogawa -- economics of education. </t>
  </si>
  <si>
    <t>Princeton</t>
  </si>
  <si>
    <t xml:space="preserve">Ellora Derenoncourt -- really cool, inequality, northern backlash against great migration, etc. Leah Boustan -- lots, read her immigration book. Ilyana Kuziemko -- unions and inequality, gender econ, etc. Roland Benabou -- spatial urban economics. </t>
  </si>
  <si>
    <t>1000 words</t>
  </si>
  <si>
    <t>20-25 pages</t>
  </si>
  <si>
    <t xml:space="preserve">The length of the writing sample might DQ this program for me. But I could use the Gary Becker discussion in my poli sci thesis </t>
  </si>
  <si>
    <t>UVA</t>
  </si>
  <si>
    <t xml:space="preserve">John Pepper -- cool policy evaluation work. Sarah Turner -- disparate returns to higher education, inequality. Amalia Miller -- gender labor papers. </t>
  </si>
  <si>
    <t>Cornell</t>
  </si>
  <si>
    <t xml:space="preserve">Jamein Cunningham (on leave at UT Austin) -- civil rights enforcement and racial wage gap, police brutality. Max Kapustin -- crime and urban econ. Douglas Miller -- housing fx on child mortality, EITC, head start. </t>
  </si>
  <si>
    <t>BU</t>
  </si>
  <si>
    <t>Min 200 words</t>
  </si>
  <si>
    <t xml:space="preserve">James Feigenbaum -- economic history. Martin Fiszbein -- demographics and political extremism. Adam Guren -- household finance and real estate. </t>
  </si>
  <si>
    <t xml:space="preserve">Brown </t>
  </si>
  <si>
    <t xml:space="preserve">Matthew Turner -- cool urbanization/infrastructure papers, incl subway papers. Lorenzo Lagos -- inequality and wage disparity. Jesse Bruhn -- public housing, education.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</si>
</sst>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[$€-2]\ * #,##0_);_([$€-2]\ * \(#,##0\);_([$€-2]\ * &quot;-&quot;??_);_(@_)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5" fillId="0" borderId="0" xfId="0" applyFont="1"/>
    <xf numFmtId="14" fontId="1" fillId="0" borderId="0" xfId="0" applyNumberFormat="1" applyFont="1"/>
    <xf numFmtId="6" fontId="1" fillId="0" borderId="0" xfId="0" applyNumberFormat="1" applyFont="1"/>
    <xf numFmtId="0" fontId="6" fillId="0" borderId="0" xfId="0" applyFont="1"/>
    <xf numFmtId="6" fontId="0" fillId="0" borderId="0" xfId="0" applyNumberFormat="1"/>
    <xf numFmtId="0" fontId="5" fillId="0" borderId="0" xfId="0" applyFont="1" applyAlignment="1">
      <alignment wrapText="1"/>
    </xf>
    <xf numFmtId="44" fontId="0" fillId="0" borderId="0" xfId="2" applyFont="1"/>
    <xf numFmtId="6" fontId="6" fillId="0" borderId="0" xfId="0" applyNumberFormat="1" applyFont="1"/>
    <xf numFmtId="0" fontId="3" fillId="0" borderId="0" xfId="1"/>
    <xf numFmtId="49" fontId="6" fillId="0" borderId="0" xfId="0" applyNumberFormat="1" applyFont="1"/>
    <xf numFmtId="164" fontId="0" fillId="0" borderId="0" xfId="0" applyNumberFormat="1"/>
    <xf numFmtId="14" fontId="6" fillId="0" borderId="0" xfId="0" applyNumberFormat="1" applyFont="1"/>
    <xf numFmtId="49" fontId="0" fillId="0" borderId="0" xfId="0" applyNumberFormat="1"/>
    <xf numFmtId="0" fontId="4" fillId="0" borderId="0" xfId="0" applyFont="1"/>
    <xf numFmtId="16" fontId="4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on.berkeley.edu/grad/admissions" TargetMode="External"/><Relationship Id="rId13" Type="http://schemas.openxmlformats.org/officeDocument/2006/relationships/hyperlink" Target="https://www.econ.cam.ac.uk/postgraduate-studies/mphil-economics/how-and-when-apply" TargetMode="External"/><Relationship Id="rId18" Type="http://schemas.openxmlformats.org/officeDocument/2006/relationships/hyperlink" Target="https://economics.northwestern.edu/graduate/prospective/admissions.html" TargetMode="External"/><Relationship Id="rId3" Type="http://schemas.openxmlformats.org/officeDocument/2006/relationships/hyperlink" Target="https://gsas.nyu.edu/admissions/arc/programs/economics.html" TargetMode="External"/><Relationship Id="rId21" Type="http://schemas.openxmlformats.org/officeDocument/2006/relationships/hyperlink" Target="https://economics.cornell.edu/graduate" TargetMode="External"/><Relationship Id="rId7" Type="http://schemas.openxmlformats.org/officeDocument/2006/relationships/hyperlink" Target="https://www.hks.harvard.edu/admissions-aid/doctoral-program-admissions/how-apply" TargetMode="External"/><Relationship Id="rId12" Type="http://schemas.openxmlformats.org/officeDocument/2006/relationships/hyperlink" Target="https://bse.eu/study/masters-programs/economics-public-policy" TargetMode="External"/><Relationship Id="rId17" Type="http://schemas.openxmlformats.org/officeDocument/2006/relationships/hyperlink" Target="https://economics.yale.edu/phd-program/prospective-students" TargetMode="External"/><Relationship Id="rId2" Type="http://schemas.openxmlformats.org/officeDocument/2006/relationships/hyperlink" Target="https://harris.uchicago.edu/academics/degrees/master-public-policy-mpp" TargetMode="External"/><Relationship Id="rId16" Type="http://schemas.openxmlformats.org/officeDocument/2006/relationships/hyperlink" Target="https://economics.mit.edu/academic-programs/phd-program/admissions" TargetMode="External"/><Relationship Id="rId20" Type="http://schemas.openxmlformats.org/officeDocument/2006/relationships/hyperlink" Target="https://www.bu.edu/econ/admissions/apply-for-a-phd/" TargetMode="External"/><Relationship Id="rId1" Type="http://schemas.openxmlformats.org/officeDocument/2006/relationships/hyperlink" Target="https://harris.uchicago.edu/academics/degrees/phd" TargetMode="External"/><Relationship Id="rId6" Type="http://schemas.openxmlformats.org/officeDocument/2006/relationships/hyperlink" Target="https://econ.jhu.edu/graduate/" TargetMode="External"/><Relationship Id="rId11" Type="http://schemas.openxmlformats.org/officeDocument/2006/relationships/hyperlink" Target="https://econ.umd.edu/landingtopic/phd-program-description" TargetMode="External"/><Relationship Id="rId5" Type="http://schemas.openxmlformats.org/officeDocument/2006/relationships/hyperlink" Target="https://doctoral.wharton.upenn.edu/programs-of-study/applied-economics/" TargetMode="External"/><Relationship Id="rId15" Type="http://schemas.openxmlformats.org/officeDocument/2006/relationships/hyperlink" Target="https://econ.duke.edu/phd-program/prospective-students/application-instructions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gsas.columbia.edu/content/economics-phd" TargetMode="External"/><Relationship Id="rId19" Type="http://schemas.openxmlformats.org/officeDocument/2006/relationships/hyperlink" Target="https://economics.virginia.edu/phd-program-overview" TargetMode="External"/><Relationship Id="rId4" Type="http://schemas.openxmlformats.org/officeDocument/2006/relationships/hyperlink" Target="https://economics.columbian.gwu.edu/phd-economics" TargetMode="External"/><Relationship Id="rId9" Type="http://schemas.openxmlformats.org/officeDocument/2006/relationships/hyperlink" Target="https://lsa.umich.edu/econ/doctoral-program/phd-application-process.html" TargetMode="External"/><Relationship Id="rId14" Type="http://schemas.openxmlformats.org/officeDocument/2006/relationships/hyperlink" Target="https://www.tcd.ie/Economics/postgraduate/msc-economics/" TargetMode="External"/><Relationship Id="rId22" Type="http://schemas.openxmlformats.org/officeDocument/2006/relationships/hyperlink" Target="https://graduateprograms.brown.edu/graduate-program/economics-ph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toral.wharton.upenn.edu/programs-of-study/applied-economics/" TargetMode="External"/><Relationship Id="rId13" Type="http://schemas.openxmlformats.org/officeDocument/2006/relationships/hyperlink" Target="https://economics.sas.upenn.edu/graduate" TargetMode="External"/><Relationship Id="rId18" Type="http://schemas.openxmlformats.org/officeDocument/2006/relationships/hyperlink" Target="https://www.hks.harvard.edu/educational-programs/doctoral-programs/phd-public-policy" TargetMode="External"/><Relationship Id="rId3" Type="http://schemas.openxmlformats.org/officeDocument/2006/relationships/hyperlink" Target="https://harris.uchicago.edu/academics/degrees/master-public-policy-mpp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tspppa.gwu.edu/phd-public-policy-administration" TargetMode="External"/><Relationship Id="rId12" Type="http://schemas.openxmlformats.org/officeDocument/2006/relationships/hyperlink" Target="https://econ.jhu.edu/graduate/" TargetMode="External"/><Relationship Id="rId17" Type="http://schemas.openxmlformats.org/officeDocument/2006/relationships/hyperlink" Target="https://www.hks.harvard.edu/educational-programs/masters-programs" TargetMode="External"/><Relationship Id="rId2" Type="http://schemas.openxmlformats.org/officeDocument/2006/relationships/hyperlink" Target="https://capp.uchicago.edu/" TargetMode="External"/><Relationship Id="rId16" Type="http://schemas.openxmlformats.org/officeDocument/2006/relationships/hyperlink" Target="https://economics.northwestern.edu/graduate/prospective/" TargetMode="External"/><Relationship Id="rId20" Type="http://schemas.openxmlformats.org/officeDocument/2006/relationships/hyperlink" Target="https://economics.emory.edu/graduate/index.html" TargetMode="External"/><Relationship Id="rId1" Type="http://schemas.openxmlformats.org/officeDocument/2006/relationships/hyperlink" Target="https://harris.uchicago.edu/academics/degrees/phd" TargetMode="External"/><Relationship Id="rId6" Type="http://schemas.openxmlformats.org/officeDocument/2006/relationships/hyperlink" Target="https://wagner.nyu.edu/education/degrees/doctorate-public-administration/fields/urban" TargetMode="External"/><Relationship Id="rId11" Type="http://schemas.openxmlformats.org/officeDocument/2006/relationships/hyperlink" Target="https://econ.uic.edu/graduate/phd-economics/" TargetMode="External"/><Relationship Id="rId5" Type="http://schemas.openxmlformats.org/officeDocument/2006/relationships/hyperlink" Target="https://wagner.nyu.edu/education/degrees/doctorate-public-administration/fields/policy" TargetMode="External"/><Relationship Id="rId15" Type="http://schemas.openxmlformats.org/officeDocument/2006/relationships/hyperlink" Target="https://fordschool.umich.edu/phd/public-policy-and-economics" TargetMode="External"/><Relationship Id="rId10" Type="http://schemas.openxmlformats.org/officeDocument/2006/relationships/hyperlink" Target="https://www.heinz.cmu.edu/programs/public-policy-management-master/data-analytics" TargetMode="External"/><Relationship Id="rId19" Type="http://schemas.openxmlformats.org/officeDocument/2006/relationships/hyperlink" Target="https://economics.harvard.edu/phd-program" TargetMode="External"/><Relationship Id="rId4" Type="http://schemas.openxmlformats.org/officeDocument/2006/relationships/hyperlink" Target="https://gspp.berkeley.edu/programs/masters-of-public-policy-mpp" TargetMode="External"/><Relationship Id="rId9" Type="http://schemas.openxmlformats.org/officeDocument/2006/relationships/hyperlink" Target="https://mccourt.georgetown.edu/master-of-science-in-data-science-for-public-policy/" TargetMode="External"/><Relationship Id="rId14" Type="http://schemas.openxmlformats.org/officeDocument/2006/relationships/hyperlink" Target="https://fordschool.umich.edu/mpp-mpa/m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0"/>
  <sheetViews>
    <sheetView tabSelected="1" zoomScale="150" zoomScaleNormal="150" workbookViewId="0">
      <pane ySplit="1" topLeftCell="A8" activePane="bottomLeft" state="frozen"/>
      <selection pane="bottomLeft" activeCell="F19" sqref="F19"/>
    </sheetView>
  </sheetViews>
  <sheetFormatPr baseColWidth="10" defaultColWidth="12.5" defaultRowHeight="15.75" customHeight="1" x14ac:dyDescent="0.15"/>
  <cols>
    <col min="2" max="2" width="14.5" customWidth="1"/>
    <col min="3" max="3" width="14.5" style="4" customWidth="1"/>
    <col min="4" max="4" width="11.1640625" customWidth="1"/>
    <col min="5" max="5" width="19.5" customWidth="1"/>
    <col min="6" max="6" width="6.5" customWidth="1"/>
    <col min="7" max="7" width="8.6640625" customWidth="1"/>
    <col min="8" max="8" width="14.1640625" customWidth="1"/>
    <col min="9" max="9" width="18.5" customWidth="1"/>
  </cols>
  <sheetData>
    <row r="1" spans="1:11" ht="15.75" customHeight="1" x14ac:dyDescent="0.15">
      <c r="A1" s="1" t="s">
        <v>0</v>
      </c>
      <c r="B1" s="1" t="s">
        <v>1</v>
      </c>
      <c r="C1" s="4" t="s">
        <v>106</v>
      </c>
      <c r="D1" s="1" t="s">
        <v>45</v>
      </c>
      <c r="E1" s="4" t="s">
        <v>46</v>
      </c>
      <c r="F1" s="4" t="s">
        <v>47</v>
      </c>
      <c r="G1" s="4" t="s">
        <v>48</v>
      </c>
      <c r="H1" s="4" t="s">
        <v>59</v>
      </c>
      <c r="I1" s="4" t="s">
        <v>49</v>
      </c>
      <c r="J1" s="4" t="s">
        <v>50</v>
      </c>
      <c r="K1" s="4" t="s">
        <v>53</v>
      </c>
    </row>
    <row r="2" spans="1:11" ht="15.75" customHeight="1" x14ac:dyDescent="0.15">
      <c r="A2" s="1" t="s">
        <v>7</v>
      </c>
      <c r="B2" s="12" t="s">
        <v>16</v>
      </c>
      <c r="C2" s="4" t="s">
        <v>107</v>
      </c>
      <c r="D2" s="5">
        <v>45204</v>
      </c>
      <c r="E2" s="7" t="s">
        <v>52</v>
      </c>
      <c r="F2" s="11">
        <v>0</v>
      </c>
      <c r="G2" s="7" t="s">
        <v>51</v>
      </c>
      <c r="H2" s="7" t="s">
        <v>60</v>
      </c>
      <c r="I2" s="7" t="s">
        <v>52</v>
      </c>
      <c r="J2">
        <v>3</v>
      </c>
      <c r="K2" s="7" t="s">
        <v>61</v>
      </c>
    </row>
    <row r="3" spans="1:11" ht="15.75" customHeight="1" x14ac:dyDescent="0.15">
      <c r="A3" s="1" t="s">
        <v>36</v>
      </c>
      <c r="B3" s="12" t="s">
        <v>8</v>
      </c>
      <c r="C3" s="4" t="s">
        <v>107</v>
      </c>
      <c r="D3" s="3">
        <v>45261</v>
      </c>
      <c r="E3" s="7" t="s">
        <v>102</v>
      </c>
      <c r="F3" s="8">
        <v>100</v>
      </c>
      <c r="G3" s="7" t="s">
        <v>75</v>
      </c>
      <c r="H3" s="7" t="s">
        <v>55</v>
      </c>
      <c r="I3" s="7" t="s">
        <v>101</v>
      </c>
      <c r="J3">
        <v>3</v>
      </c>
    </row>
    <row r="4" spans="1:11" ht="15.75" customHeight="1" x14ac:dyDescent="0.15">
      <c r="A4" s="1" t="s">
        <v>33</v>
      </c>
      <c r="B4" s="12" t="s">
        <v>29</v>
      </c>
      <c r="C4" s="4">
        <v>12</v>
      </c>
      <c r="D4" s="3">
        <v>45261</v>
      </c>
      <c r="E4" s="7" t="s">
        <v>79</v>
      </c>
      <c r="F4" s="8">
        <v>75</v>
      </c>
      <c r="G4" s="7" t="s">
        <v>51</v>
      </c>
      <c r="H4" s="7" t="s">
        <v>55</v>
      </c>
      <c r="I4" s="7" t="s">
        <v>52</v>
      </c>
      <c r="J4">
        <v>3</v>
      </c>
      <c r="K4" s="7" t="s">
        <v>78</v>
      </c>
    </row>
    <row r="5" spans="1:11" ht="15.75" customHeight="1" x14ac:dyDescent="0.15">
      <c r="A5" s="4" t="s">
        <v>86</v>
      </c>
      <c r="B5" s="12" t="s">
        <v>29</v>
      </c>
      <c r="C5" s="4">
        <v>22</v>
      </c>
      <c r="D5" s="3">
        <v>45261</v>
      </c>
      <c r="E5" s="7" t="s">
        <v>88</v>
      </c>
      <c r="F5" s="8">
        <v>75</v>
      </c>
      <c r="G5" s="7" t="s">
        <v>51</v>
      </c>
      <c r="H5" s="7" t="s">
        <v>55</v>
      </c>
      <c r="I5" s="7" t="s">
        <v>57</v>
      </c>
      <c r="J5">
        <v>3</v>
      </c>
      <c r="K5" s="7" t="s">
        <v>87</v>
      </c>
    </row>
    <row r="6" spans="1:11" ht="15.75" customHeight="1" x14ac:dyDescent="0.15">
      <c r="A6" s="1" t="s">
        <v>38</v>
      </c>
      <c r="B6" s="12" t="s">
        <v>29</v>
      </c>
      <c r="C6" s="4">
        <v>4</v>
      </c>
      <c r="D6" s="3">
        <v>45261</v>
      </c>
      <c r="E6" s="7" t="s">
        <v>103</v>
      </c>
      <c r="F6" s="8">
        <v>105</v>
      </c>
      <c r="G6" s="7" t="s">
        <v>51</v>
      </c>
      <c r="H6" s="7" t="s">
        <v>104</v>
      </c>
      <c r="I6" s="7" t="s">
        <v>105</v>
      </c>
      <c r="J6">
        <v>3</v>
      </c>
    </row>
    <row r="7" spans="1:11" ht="15.75" customHeight="1" x14ac:dyDescent="0.15">
      <c r="A7" s="1" t="s">
        <v>17</v>
      </c>
      <c r="B7" s="12" t="s">
        <v>29</v>
      </c>
      <c r="C7" s="4">
        <v>4</v>
      </c>
      <c r="D7" s="3">
        <v>45264</v>
      </c>
      <c r="E7" s="7" t="s">
        <v>64</v>
      </c>
      <c r="F7" s="8">
        <v>135</v>
      </c>
      <c r="G7" s="7" t="s">
        <v>58</v>
      </c>
      <c r="H7" s="7" t="s">
        <v>62</v>
      </c>
      <c r="I7" s="7" t="s">
        <v>57</v>
      </c>
      <c r="J7">
        <v>3</v>
      </c>
      <c r="K7" s="7" t="s">
        <v>67</v>
      </c>
    </row>
    <row r="8" spans="1:11" ht="15.75" customHeight="1" x14ac:dyDescent="0.15">
      <c r="A8" s="4" t="s">
        <v>70</v>
      </c>
      <c r="B8" s="12" t="s">
        <v>94</v>
      </c>
      <c r="D8" s="3">
        <v>45265</v>
      </c>
      <c r="E8" s="7" t="s">
        <v>52</v>
      </c>
      <c r="F8" s="7" t="s">
        <v>55</v>
      </c>
      <c r="G8" s="7" t="s">
        <v>51</v>
      </c>
      <c r="H8" s="7" t="s">
        <v>92</v>
      </c>
      <c r="I8" s="7" t="s">
        <v>52</v>
      </c>
      <c r="J8">
        <v>2</v>
      </c>
      <c r="K8" s="7" t="s">
        <v>93</v>
      </c>
    </row>
    <row r="9" spans="1:11" ht="15.75" customHeight="1" x14ac:dyDescent="0.15">
      <c r="A9" s="1" t="s">
        <v>7</v>
      </c>
      <c r="B9" s="12" t="s">
        <v>8</v>
      </c>
      <c r="C9" s="4" t="s">
        <v>107</v>
      </c>
      <c r="D9" s="5">
        <v>45266</v>
      </c>
      <c r="E9" s="4" t="s">
        <v>56</v>
      </c>
      <c r="F9" s="6">
        <v>95</v>
      </c>
      <c r="G9" s="4" t="s">
        <v>51</v>
      </c>
      <c r="H9" s="7" t="s">
        <v>54</v>
      </c>
      <c r="I9" s="7" t="s">
        <v>55</v>
      </c>
      <c r="J9">
        <v>3</v>
      </c>
    </row>
    <row r="10" spans="1:11" ht="15.75" customHeight="1" x14ac:dyDescent="0.15">
      <c r="A10" s="4" t="s">
        <v>80</v>
      </c>
      <c r="B10" s="12" t="s">
        <v>29</v>
      </c>
      <c r="C10" s="4">
        <v>9</v>
      </c>
      <c r="D10" s="3">
        <v>45274</v>
      </c>
      <c r="E10" s="7" t="s">
        <v>84</v>
      </c>
      <c r="F10" s="8">
        <v>120</v>
      </c>
      <c r="G10" s="7" t="s">
        <v>51</v>
      </c>
      <c r="H10" s="7" t="s">
        <v>55</v>
      </c>
      <c r="I10" s="7" t="s">
        <v>81</v>
      </c>
      <c r="J10" s="13" t="s">
        <v>82</v>
      </c>
      <c r="K10" s="7" t="s">
        <v>83</v>
      </c>
    </row>
    <row r="11" spans="1:11" ht="15.75" customHeight="1" x14ac:dyDescent="0.15">
      <c r="A11" s="4" t="s">
        <v>85</v>
      </c>
      <c r="B11" s="12" t="s">
        <v>29</v>
      </c>
      <c r="C11" s="4">
        <v>1</v>
      </c>
      <c r="D11" s="3">
        <v>45275</v>
      </c>
      <c r="E11" s="7" t="s">
        <v>100</v>
      </c>
      <c r="F11" s="8">
        <v>75</v>
      </c>
      <c r="G11" s="7" t="s">
        <v>75</v>
      </c>
      <c r="H11" s="7" t="s">
        <v>99</v>
      </c>
      <c r="I11" s="7" t="s">
        <v>52</v>
      </c>
      <c r="J11">
        <v>3</v>
      </c>
      <c r="K11" s="7"/>
    </row>
    <row r="12" spans="1:11" ht="15.75" customHeight="1" x14ac:dyDescent="0.15">
      <c r="A12" s="1" t="s">
        <v>21</v>
      </c>
      <c r="B12" s="12" t="s">
        <v>22</v>
      </c>
      <c r="C12" s="4" t="s">
        <v>108</v>
      </c>
      <c r="D12" s="3">
        <v>45275</v>
      </c>
      <c r="E12" s="7" t="s">
        <v>68</v>
      </c>
      <c r="F12" s="8">
        <v>80</v>
      </c>
      <c r="G12" s="7" t="s">
        <v>55</v>
      </c>
      <c r="H12" s="7" t="s">
        <v>55</v>
      </c>
      <c r="I12" s="7" t="s">
        <v>55</v>
      </c>
      <c r="J12">
        <v>3</v>
      </c>
      <c r="K12" s="7" t="s">
        <v>61</v>
      </c>
    </row>
    <row r="13" spans="1:11" ht="15.75" customHeight="1" x14ac:dyDescent="0.15">
      <c r="A13" s="1" t="s">
        <v>119</v>
      </c>
      <c r="B13" s="12" t="s">
        <v>29</v>
      </c>
      <c r="C13" s="4">
        <v>4</v>
      </c>
      <c r="D13" s="15">
        <v>45275</v>
      </c>
      <c r="E13" s="7" t="s">
        <v>120</v>
      </c>
      <c r="F13" s="8">
        <v>75</v>
      </c>
      <c r="G13" s="7" t="s">
        <v>51</v>
      </c>
      <c r="H13" s="7" t="s">
        <v>121</v>
      </c>
      <c r="I13" s="7" t="s">
        <v>122</v>
      </c>
      <c r="J13">
        <v>3</v>
      </c>
      <c r="K13" s="7" t="s">
        <v>123</v>
      </c>
    </row>
    <row r="14" spans="1:11" ht="15.75" customHeight="1" x14ac:dyDescent="0.15">
      <c r="A14" s="1" t="s">
        <v>18</v>
      </c>
      <c r="B14" s="12" t="s">
        <v>29</v>
      </c>
      <c r="C14" s="4">
        <v>11</v>
      </c>
      <c r="D14" s="3">
        <v>45278</v>
      </c>
      <c r="E14" s="7" t="s">
        <v>66</v>
      </c>
      <c r="F14" s="8">
        <v>110</v>
      </c>
      <c r="G14" s="7" t="s">
        <v>51</v>
      </c>
      <c r="H14" s="7" t="s">
        <v>65</v>
      </c>
      <c r="I14" s="7" t="s">
        <v>57</v>
      </c>
      <c r="J14">
        <v>3</v>
      </c>
    </row>
    <row r="15" spans="1:11" ht="15.75" customHeight="1" x14ac:dyDescent="0.15">
      <c r="A15" s="1" t="s">
        <v>30</v>
      </c>
      <c r="B15" s="12" t="s">
        <v>29</v>
      </c>
      <c r="C15" s="4">
        <v>22</v>
      </c>
      <c r="D15" s="3">
        <v>45292</v>
      </c>
      <c r="E15" s="7" t="s">
        <v>76</v>
      </c>
      <c r="F15" s="8">
        <v>75</v>
      </c>
      <c r="G15" s="7" t="s">
        <v>75</v>
      </c>
      <c r="H15" s="7" t="s">
        <v>55</v>
      </c>
      <c r="I15" s="7" t="s">
        <v>52</v>
      </c>
      <c r="J15">
        <v>2</v>
      </c>
      <c r="K15" s="7" t="s">
        <v>77</v>
      </c>
    </row>
    <row r="16" spans="1:11" ht="15.75" customHeight="1" x14ac:dyDescent="0.15">
      <c r="A16" s="1" t="s">
        <v>40</v>
      </c>
      <c r="B16" s="12" t="s">
        <v>29</v>
      </c>
      <c r="C16" s="4">
        <v>18</v>
      </c>
      <c r="D16" s="3">
        <v>45295</v>
      </c>
      <c r="E16" s="7" t="s">
        <v>98</v>
      </c>
      <c r="F16" s="8">
        <v>90</v>
      </c>
      <c r="G16" s="7" t="s">
        <v>51</v>
      </c>
      <c r="H16" s="7" t="s">
        <v>97</v>
      </c>
      <c r="I16" s="7" t="s">
        <v>52</v>
      </c>
      <c r="J16">
        <v>3</v>
      </c>
    </row>
    <row r="17" spans="1:11" ht="15.75" customHeight="1" x14ac:dyDescent="0.15">
      <c r="A17" s="1" t="s">
        <v>114</v>
      </c>
      <c r="B17" s="12" t="s">
        <v>29</v>
      </c>
      <c r="C17" s="4">
        <v>8</v>
      </c>
      <c r="D17" s="15">
        <v>45295</v>
      </c>
      <c r="E17" s="7" t="s">
        <v>118</v>
      </c>
      <c r="F17" s="8">
        <v>95</v>
      </c>
      <c r="G17" s="7" t="s">
        <v>51</v>
      </c>
      <c r="H17" s="7" t="s">
        <v>104</v>
      </c>
      <c r="I17" s="7" t="s">
        <v>115</v>
      </c>
      <c r="J17" s="16" t="s">
        <v>116</v>
      </c>
      <c r="K17" s="7" t="s">
        <v>117</v>
      </c>
    </row>
    <row r="18" spans="1:11" ht="15.75" customHeight="1" x14ac:dyDescent="0.15">
      <c r="A18" s="1" t="s">
        <v>20</v>
      </c>
      <c r="B18" s="12" t="s">
        <v>29</v>
      </c>
      <c r="C18" s="4">
        <v>61</v>
      </c>
      <c r="D18" s="3">
        <v>45306</v>
      </c>
      <c r="E18" s="7" t="s">
        <v>74</v>
      </c>
      <c r="F18" s="8">
        <v>80</v>
      </c>
      <c r="G18" s="7" t="s">
        <v>51</v>
      </c>
      <c r="H18" s="7" t="s">
        <v>72</v>
      </c>
      <c r="I18" s="7" t="s">
        <v>52</v>
      </c>
      <c r="J18">
        <v>3</v>
      </c>
      <c r="K18" s="7" t="s">
        <v>73</v>
      </c>
    </row>
    <row r="19" spans="1:11" ht="15.75" customHeight="1" x14ac:dyDescent="0.15">
      <c r="A19" s="1" t="s">
        <v>124</v>
      </c>
      <c r="B19" s="12" t="s">
        <v>29</v>
      </c>
      <c r="C19" s="1">
        <v>30</v>
      </c>
      <c r="D19" s="3">
        <v>45306</v>
      </c>
      <c r="E19" s="17" t="s">
        <v>125</v>
      </c>
      <c r="F19" s="8">
        <v>85</v>
      </c>
      <c r="G19" s="17" t="s">
        <v>51</v>
      </c>
      <c r="H19" s="18" t="s">
        <v>55</v>
      </c>
      <c r="I19" s="17" t="s">
        <v>52</v>
      </c>
      <c r="J19">
        <v>2</v>
      </c>
    </row>
    <row r="20" spans="1:11" ht="15.75" customHeight="1" x14ac:dyDescent="0.15">
      <c r="A20" s="4" t="s">
        <v>69</v>
      </c>
      <c r="B20" s="12" t="s">
        <v>91</v>
      </c>
      <c r="D20" s="3">
        <v>45306</v>
      </c>
      <c r="E20" s="7" t="s">
        <v>52</v>
      </c>
      <c r="F20" s="14">
        <v>100</v>
      </c>
      <c r="G20" s="7" t="s">
        <v>51</v>
      </c>
      <c r="H20" t="s">
        <v>89</v>
      </c>
      <c r="I20" s="7" t="s">
        <v>52</v>
      </c>
      <c r="J20">
        <v>2</v>
      </c>
      <c r="K20" s="7" t="s">
        <v>90</v>
      </c>
    </row>
    <row r="21" spans="1:11" ht="15.75" customHeight="1" x14ac:dyDescent="0.15">
      <c r="A21" s="1" t="s">
        <v>126</v>
      </c>
      <c r="B21" s="12" t="s">
        <v>29</v>
      </c>
      <c r="C21" s="4">
        <v>14</v>
      </c>
      <c r="D21" s="15">
        <v>45306</v>
      </c>
      <c r="E21" s="17" t="s">
        <v>127</v>
      </c>
      <c r="F21" s="8">
        <v>105</v>
      </c>
      <c r="G21" s="17" t="s">
        <v>55</v>
      </c>
      <c r="H21" s="17" t="s">
        <v>55</v>
      </c>
      <c r="I21" s="17" t="s">
        <v>55</v>
      </c>
      <c r="J21">
        <v>3</v>
      </c>
      <c r="K21" s="7"/>
    </row>
    <row r="22" spans="1:11" ht="15.75" customHeight="1" x14ac:dyDescent="0.15">
      <c r="A22" s="1" t="s">
        <v>128</v>
      </c>
      <c r="B22" s="12" t="s">
        <v>29</v>
      </c>
      <c r="C22" s="4">
        <v>22</v>
      </c>
      <c r="D22" s="15">
        <v>45275</v>
      </c>
      <c r="E22" s="17" t="s">
        <v>130</v>
      </c>
      <c r="F22" s="8">
        <v>95</v>
      </c>
      <c r="G22" s="17" t="s">
        <v>58</v>
      </c>
      <c r="H22" s="17" t="s">
        <v>129</v>
      </c>
      <c r="I22" s="17" t="s">
        <v>57</v>
      </c>
      <c r="J22">
        <v>3</v>
      </c>
      <c r="K22" s="7"/>
    </row>
    <row r="23" spans="1:11" ht="15.75" customHeight="1" x14ac:dyDescent="0.15">
      <c r="A23" s="1" t="s">
        <v>131</v>
      </c>
      <c r="B23" s="12" t="s">
        <v>29</v>
      </c>
      <c r="C23" s="4">
        <v>20</v>
      </c>
      <c r="D23" s="15">
        <v>45292</v>
      </c>
      <c r="E23" s="17" t="s">
        <v>132</v>
      </c>
      <c r="F23" s="8">
        <v>75</v>
      </c>
      <c r="G23" s="17" t="s">
        <v>55</v>
      </c>
      <c r="H23" s="17" t="s">
        <v>55</v>
      </c>
      <c r="I23" s="17" t="s">
        <v>55</v>
      </c>
      <c r="J23">
        <v>3</v>
      </c>
      <c r="K23" s="7"/>
    </row>
    <row r="24" spans="1:11" ht="13" x14ac:dyDescent="0.15">
      <c r="A24" s="4" t="s">
        <v>71</v>
      </c>
      <c r="B24" s="12" t="s">
        <v>96</v>
      </c>
      <c r="D24" s="15">
        <v>45306</v>
      </c>
      <c r="E24" s="7" t="s">
        <v>52</v>
      </c>
      <c r="F24" s="7" t="s">
        <v>55</v>
      </c>
      <c r="G24" s="7" t="s">
        <v>51</v>
      </c>
      <c r="H24" s="7" t="s">
        <v>95</v>
      </c>
      <c r="I24" s="7" t="s">
        <v>52</v>
      </c>
      <c r="J24">
        <v>2</v>
      </c>
    </row>
    <row r="25" spans="1:11" ht="43" customHeight="1" x14ac:dyDescent="0.15">
      <c r="A25" s="9" t="s">
        <v>63</v>
      </c>
      <c r="B25" s="10">
        <f>SUM(F:F)</f>
        <v>1845</v>
      </c>
      <c r="D25" s="3"/>
    </row>
    <row r="26" spans="1:11" ht="15.75" customHeight="1" x14ac:dyDescent="0.15">
      <c r="A26" t="s">
        <v>109</v>
      </c>
      <c r="D26" s="3"/>
    </row>
    <row r="27" spans="1:11" ht="15.75" customHeight="1" x14ac:dyDescent="0.15">
      <c r="A27" s="4" t="s">
        <v>110</v>
      </c>
      <c r="B27">
        <f>_xlfn.QUARTILE.INC(C:C,1)</f>
        <v>7</v>
      </c>
    </row>
    <row r="28" spans="1:11" ht="15.75" customHeight="1" x14ac:dyDescent="0.15">
      <c r="A28" s="4" t="s">
        <v>111</v>
      </c>
      <c r="B28">
        <f>_xlfn.QUARTILE.INC(C:C,2)</f>
        <v>13</v>
      </c>
    </row>
    <row r="29" spans="1:11" ht="15.75" customHeight="1" x14ac:dyDescent="0.15">
      <c r="A29" s="4" t="s">
        <v>112</v>
      </c>
      <c r="B29">
        <f>_xlfn.QUARTILE.INC(C:C,3)</f>
        <v>22</v>
      </c>
    </row>
    <row r="30" spans="1:11" ht="15.75" customHeight="1" x14ac:dyDescent="0.15">
      <c r="A30" s="4" t="s">
        <v>113</v>
      </c>
      <c r="B30">
        <f>_xlfn.QUARTILE.INC(C:C,4)</f>
        <v>61</v>
      </c>
    </row>
  </sheetData>
  <sortState xmlns:xlrd2="http://schemas.microsoft.com/office/spreadsheetml/2017/richdata2" ref="A3:K24">
    <sortCondition ref="D3:D24"/>
  </sortState>
  <hyperlinks>
    <hyperlink ref="B9" r:id="rId1" xr:uid="{00000000-0004-0000-0000-000000000000}"/>
    <hyperlink ref="B2" r:id="rId2" xr:uid="{00000000-0004-0000-0000-000002000000}"/>
    <hyperlink ref="B14" r:id="rId3" xr:uid="{00000000-0004-0000-0000-000004000000}"/>
    <hyperlink ref="B18" r:id="rId4" xr:uid="{00000000-0004-0000-0000-000006000000}"/>
    <hyperlink ref="B12" r:id="rId5" xr:uid="{00000000-0004-0000-0000-000007000000}"/>
    <hyperlink ref="B15" r:id="rId6" xr:uid="{00000000-0004-0000-0000-00000B000000}"/>
    <hyperlink ref="B3" r:id="rId7" xr:uid="{00000000-0004-0000-0000-000011000000}"/>
    <hyperlink ref="B7" r:id="rId8" xr:uid="{5F417FAE-548E-43C2-A72F-EFF6AAC0C847}"/>
    <hyperlink ref="B4" r:id="rId9" xr:uid="{CEBD452E-F47C-5C4A-B5D1-2D489AFAD36E}"/>
    <hyperlink ref="B10" r:id="rId10" xr:uid="{CE1B6F0B-99DB-644D-A9E8-6D3D507E9BD1}"/>
    <hyperlink ref="B5" r:id="rId11" xr:uid="{A4DEDE0E-6619-DB4E-9E11-376ABE075990}"/>
    <hyperlink ref="B20" r:id="rId12" xr:uid="{FF01F1E2-5FB2-F04F-9617-5DDCDCBF3B40}"/>
    <hyperlink ref="B8" r:id="rId13" xr:uid="{7C6CE824-AE30-494D-B258-0054A0D899EA}"/>
    <hyperlink ref="B24" r:id="rId14" xr:uid="{62B1ED50-7C87-9F42-94A8-5B286787503B}"/>
    <hyperlink ref="B16" r:id="rId15" xr:uid="{1B93CA37-878D-49EE-B5EB-04AB17E9D9F3}"/>
    <hyperlink ref="B11" r:id="rId16" xr:uid="{DE4CF150-431E-F943-B00A-9916FAE52C5A}"/>
    <hyperlink ref="B6" r:id="rId17" xr:uid="{758FF3B7-7422-4CA8-8353-6CEC896418A2}"/>
    <hyperlink ref="B17" r:id="rId18" xr:uid="{16F5FAE6-3B8C-4DCA-9610-8744A32C2BEA}"/>
    <hyperlink ref="B19" r:id="rId19" xr:uid="{99892D0C-0151-D548-B7A6-3C28B40FD72B}"/>
    <hyperlink ref="B22" r:id="rId20" xr:uid="{18F082EC-0CC4-474C-BF73-7150C2252576}"/>
    <hyperlink ref="B21" r:id="rId21" xr:uid="{3FB740C0-1F81-874F-9865-53971F86B691}"/>
    <hyperlink ref="B23" r:id="rId22" xr:uid="{245EB07D-66D3-004B-9D45-1C5074223169}"/>
  </hyperlinks>
  <pageMargins left="0.7" right="0.7" top="0.75" bottom="0.75" header="0.3" footer="0.3"/>
  <pageSetup orientation="portrait" r:id="rId23"/>
  <headerFooter>
    <oddHeader>&amp;L&amp;"Calibri"&amp;11&amp;K000000PERSONAL/NONWORK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1928-47FD-4F9C-8247-57BCB1104CE8}">
  <dimension ref="A1:G28"/>
  <sheetViews>
    <sheetView workbookViewId="0">
      <selection activeCell="C26" sqref="C26"/>
    </sheetView>
  </sheetViews>
  <sheetFormatPr baseColWidth="10" defaultColWidth="12.5" defaultRowHeight="13" x14ac:dyDescent="0.15"/>
  <cols>
    <col min="2" max="2" width="14.5" customWidth="1"/>
    <col min="3" max="3" width="11.1640625" customWidth="1"/>
    <col min="4" max="5" width="19.5" customWidth="1"/>
    <col min="6" max="6" width="16.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15">
      <c r="A3" s="1" t="s">
        <v>7</v>
      </c>
      <c r="B3" s="2" t="s">
        <v>14</v>
      </c>
      <c r="D3" s="1" t="s">
        <v>15</v>
      </c>
    </row>
    <row r="4" spans="1:7" x14ac:dyDescent="0.15">
      <c r="A4" s="1" t="s">
        <v>7</v>
      </c>
      <c r="B4" s="2" t="s">
        <v>16</v>
      </c>
      <c r="D4" s="1" t="s">
        <v>15</v>
      </c>
    </row>
    <row r="5" spans="1:7" x14ac:dyDescent="0.15">
      <c r="A5" s="1" t="s">
        <v>17</v>
      </c>
      <c r="B5" s="2" t="s">
        <v>16</v>
      </c>
    </row>
    <row r="6" spans="1:7" x14ac:dyDescent="0.15">
      <c r="A6" s="1" t="s">
        <v>18</v>
      </c>
      <c r="B6" s="2" t="s">
        <v>8</v>
      </c>
    </row>
    <row r="7" spans="1:7" x14ac:dyDescent="0.15">
      <c r="A7" s="1" t="s">
        <v>18</v>
      </c>
      <c r="B7" s="2" t="s">
        <v>19</v>
      </c>
    </row>
    <row r="8" spans="1:7" x14ac:dyDescent="0.15">
      <c r="A8" s="1" t="s">
        <v>20</v>
      </c>
      <c r="B8" s="2" t="s">
        <v>8</v>
      </c>
    </row>
    <row r="9" spans="1:7" x14ac:dyDescent="0.15">
      <c r="A9" s="1" t="s">
        <v>21</v>
      </c>
      <c r="B9" s="2" t="s">
        <v>22</v>
      </c>
    </row>
    <row r="10" spans="1:7" x14ac:dyDescent="0.15">
      <c r="A10" s="1" t="s">
        <v>23</v>
      </c>
      <c r="B10" s="2" t="s">
        <v>24</v>
      </c>
    </row>
    <row r="11" spans="1:7" x14ac:dyDescent="0.15">
      <c r="A11" s="1" t="s">
        <v>25</v>
      </c>
      <c r="B11" s="2" t="s">
        <v>26</v>
      </c>
      <c r="G11" s="1" t="s">
        <v>27</v>
      </c>
    </row>
    <row r="12" spans="1:7" x14ac:dyDescent="0.15">
      <c r="A12" s="1" t="s">
        <v>28</v>
      </c>
      <c r="B12" s="2" t="s">
        <v>29</v>
      </c>
    </row>
    <row r="13" spans="1:7" x14ac:dyDescent="0.15">
      <c r="A13" s="1" t="s">
        <v>30</v>
      </c>
      <c r="B13" s="2" t="s">
        <v>29</v>
      </c>
    </row>
    <row r="14" spans="1:7" x14ac:dyDescent="0.15">
      <c r="A14" s="1" t="s">
        <v>31</v>
      </c>
      <c r="B14" s="2" t="s">
        <v>29</v>
      </c>
      <c r="G14" s="1" t="s">
        <v>32</v>
      </c>
    </row>
    <row r="15" spans="1:7" x14ac:dyDescent="0.15">
      <c r="A15" s="1" t="s">
        <v>33</v>
      </c>
      <c r="B15" s="2" t="s">
        <v>16</v>
      </c>
    </row>
    <row r="16" spans="1:7" x14ac:dyDescent="0.15">
      <c r="A16" s="1" t="s">
        <v>33</v>
      </c>
      <c r="B16" s="2" t="s">
        <v>34</v>
      </c>
    </row>
    <row r="17" spans="1:2" x14ac:dyDescent="0.15">
      <c r="A17" s="1" t="s">
        <v>35</v>
      </c>
      <c r="B17" s="2" t="s">
        <v>29</v>
      </c>
    </row>
    <row r="18" spans="1:2" x14ac:dyDescent="0.15">
      <c r="A18" s="1" t="s">
        <v>36</v>
      </c>
      <c r="B18" s="2" t="s">
        <v>16</v>
      </c>
    </row>
    <row r="19" spans="1:2" x14ac:dyDescent="0.15">
      <c r="A19" s="1" t="s">
        <v>36</v>
      </c>
      <c r="B19" s="2" t="s">
        <v>8</v>
      </c>
    </row>
    <row r="20" spans="1:2" x14ac:dyDescent="0.15">
      <c r="A20" s="1" t="s">
        <v>36</v>
      </c>
      <c r="B20" s="2" t="s">
        <v>29</v>
      </c>
    </row>
    <row r="21" spans="1:2" x14ac:dyDescent="0.15">
      <c r="A21" s="1" t="s">
        <v>37</v>
      </c>
    </row>
    <row r="22" spans="1:2" x14ac:dyDescent="0.15">
      <c r="A22" s="1" t="s">
        <v>38</v>
      </c>
    </row>
    <row r="23" spans="1:2" x14ac:dyDescent="0.15">
      <c r="A23" s="1" t="s">
        <v>39</v>
      </c>
    </row>
    <row r="24" spans="1:2" x14ac:dyDescent="0.15">
      <c r="A24" s="1" t="s">
        <v>40</v>
      </c>
      <c r="B24" s="1" t="s">
        <v>29</v>
      </c>
    </row>
    <row r="25" spans="1:2" x14ac:dyDescent="0.15">
      <c r="A25" s="1" t="s">
        <v>40</v>
      </c>
      <c r="B25" s="1" t="s">
        <v>41</v>
      </c>
    </row>
    <row r="26" spans="1:2" x14ac:dyDescent="0.15">
      <c r="A26" s="1" t="s">
        <v>42</v>
      </c>
      <c r="B26" s="1" t="s">
        <v>29</v>
      </c>
    </row>
    <row r="27" spans="1:2" x14ac:dyDescent="0.15">
      <c r="A27" s="1" t="s">
        <v>43</v>
      </c>
    </row>
    <row r="28" spans="1:2" x14ac:dyDescent="0.15">
      <c r="A28" s="1" t="s">
        <v>44</v>
      </c>
      <c r="B28" s="2" t="s">
        <v>29</v>
      </c>
    </row>
  </sheetData>
  <hyperlinks>
    <hyperlink ref="B2" r:id="rId1" xr:uid="{BD48AD7A-BD94-4843-B8E3-DFC4B9EB6A18}"/>
    <hyperlink ref="B3" r:id="rId2" xr:uid="{7C891151-2F57-4C09-B8FE-4CA6C39C8668}"/>
    <hyperlink ref="B4" r:id="rId3" xr:uid="{7B69E549-3A29-48AC-9221-8CA50D5620E1}"/>
    <hyperlink ref="B5" r:id="rId4" xr:uid="{E7563E4F-EC22-4B6E-A3D1-8C1E0D25D3BC}"/>
    <hyperlink ref="B6" r:id="rId5" xr:uid="{BE2BFD3B-2416-45EF-987A-830C13AE7EC2}"/>
    <hyperlink ref="B7" r:id="rId6" xr:uid="{0374DB9C-5E0F-4C0F-A92D-5CCE5F959F74}"/>
    <hyperlink ref="B8" r:id="rId7" xr:uid="{C97AEA66-1554-4E15-BCE7-152331F3CEAB}"/>
    <hyperlink ref="B9" r:id="rId8" xr:uid="{9714392E-A77E-4090-BD90-8D6F59DC6DCB}"/>
    <hyperlink ref="B10" r:id="rId9" xr:uid="{1A3FBD4B-A63C-4182-B06B-E63C06A3A864}"/>
    <hyperlink ref="B11" r:id="rId10" xr:uid="{B2003F9C-7730-4B2B-8F2E-F1782530622F}"/>
    <hyperlink ref="B12" r:id="rId11" xr:uid="{1CFD97B9-6680-4D4D-9F29-5B1FD70152AF}"/>
    <hyperlink ref="B13" r:id="rId12" xr:uid="{7BE88491-B842-4F13-B6DA-E0C9E43FB9EC}"/>
    <hyperlink ref="B14" r:id="rId13" xr:uid="{00822365-5DA5-48DB-942C-7219B77C187C}"/>
    <hyperlink ref="B15" r:id="rId14" xr:uid="{0D48F7A3-9379-4A22-914F-EA5E8B30B69A}"/>
    <hyperlink ref="B16" r:id="rId15" xr:uid="{8A5EEDB4-6E00-4924-87F2-3CFABB83E86C}"/>
    <hyperlink ref="B17" r:id="rId16" xr:uid="{54CB248F-CF97-4126-94B1-7EBBD2CBB135}"/>
    <hyperlink ref="B18" r:id="rId17" xr:uid="{1866AA8B-A97D-45FE-8112-5EC14415CCA1}"/>
    <hyperlink ref="B19" r:id="rId18" xr:uid="{3344DD23-C262-4859-83F8-4EA68B565F05}"/>
    <hyperlink ref="B20" r:id="rId19" xr:uid="{88BCA437-3A28-4FA2-A0A6-9B49FF4BA5B7}"/>
    <hyperlink ref="B28" r:id="rId20" xr:uid="{C3199FF4-E780-492D-B6DC-E320346309BE}"/>
  </hyperlinks>
  <pageMargins left="0.7" right="0.7" top="0.75" bottom="0.75" header="0.3" footer="0.3"/>
  <pageSetup orientation="portrait" r:id="rId21"/>
  <headerFooter>
    <oddHeader>&amp;L&amp;"Calibri"&amp;11&amp;K000000PERSONAL/NONWORK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Details</vt:lpstr>
      <vt:lpstr>Program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ksadovi@outlook.com</cp:lastModifiedBy>
  <dcterms:modified xsi:type="dcterms:W3CDTF">2023-09-02T14:04:39Z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48de3cac-dede-4d20-b918-46acdca824b3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2023-08-21T13:04:41Z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40d5ec96-fcfd-49e8-91fe-663990c1095e</vt:lpwstr>
  </property>
  <property fmtid="{D5CDD505-2E9C-101B-9397-08002B2CF9AE}" pid="9" name="MSIP_Label_020c9e8b-b879-4ade-97ac-60b9c2bff5e3_ContentBits">
    <vt:lpwstr>1</vt:lpwstr>
  </property>
</Properties>
</file>